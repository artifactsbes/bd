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7.xml" ContentType="application/vnd.openxmlformats-officedocument.spreadsheetml.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2" documentId="8_{7EC05FE1-A28D-4710-829F-5E0F3FE029FA}" xr6:coauthVersionLast="47" xr6:coauthVersionMax="47" xr10:uidLastSave="{25061B5F-6059-4992-86EE-D3BE8A6F9CA5}"/>
  <bookViews>
    <workbookView xWindow="-108" yWindow="-108" windowWidth="23256" windowHeight="12456" firstSheet="13" activeTab="14" xr2:uid="{00000000-000D-0000-FFFF-FFFF00000000}"/>
  </bookViews>
  <sheets>
    <sheet name="IEEE - Estudos Primários" sheetId="1" r:id="rId1"/>
    <sheet name="ACM - Estudos Primários" sheetId="2" r:id="rId2"/>
    <sheet name="Web of Science - Primários" sheetId="3" r:id="rId3"/>
    <sheet name="IEEE - Estudos Secundários" sheetId="4" r:id="rId4"/>
    <sheet name="ACM - Estudos Secundários" sheetId="5" r:id="rId5"/>
    <sheet name="Web of Science - Secundários" sheetId="6" r:id="rId6"/>
    <sheet name="Base_Unificada_Apoio" sheetId="7" r:id="rId7"/>
    <sheet name="Consolidação Geral da RSL" sheetId="8" r:id="rId8"/>
    <sheet name="Estatísticas da Revisão" sheetId="9" r:id="rId9"/>
    <sheet name="Rastreabilidade da Seleção" sheetId="10" r:id="rId10"/>
    <sheet name="Controle de Deduplicação" sheetId="11" r:id="rId11"/>
    <sheet name="Procedimento Metodológico" sheetId="12" r:id="rId12"/>
    <sheet name="Legenda" sheetId="13" r:id="rId13"/>
    <sheet name="Síntese Questões Pesquisa" sheetId="14" r:id="rId14"/>
    <sheet name="Protocolo_Extracao" sheetId="17" r:id="rId15"/>
    <sheet name="Matriz_Extracao_Evidencias" sheetId="15" r:id="rId16"/>
    <sheet name="Sintese_Incidencia_RQs" sheetId="16"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16" l="1"/>
  <c r="F31" i="16"/>
  <c r="F30" i="16"/>
  <c r="F29" i="16"/>
  <c r="F28" i="16"/>
  <c r="F27" i="16"/>
  <c r="F26" i="16"/>
  <c r="F25" i="16"/>
  <c r="F24" i="16"/>
  <c r="F23" i="16"/>
  <c r="F22" i="16"/>
  <c r="F21" i="16"/>
  <c r="F20" i="16"/>
  <c r="F19" i="16"/>
  <c r="F18" i="16"/>
  <c r="F17" i="16"/>
  <c r="F16" i="16"/>
  <c r="F15" i="16"/>
  <c r="F14" i="16"/>
  <c r="F13" i="16"/>
  <c r="F12" i="16"/>
  <c r="F11" i="16"/>
  <c r="F10" i="16"/>
  <c r="F9" i="16"/>
  <c r="F8" i="16"/>
  <c r="F7" i="16"/>
  <c r="F6" i="16"/>
  <c r="F5" i="16"/>
  <c r="F4" i="16"/>
  <c r="F3" i="16"/>
  <c r="F2" i="16"/>
  <c r="E37" i="9"/>
  <c r="E36" i="9"/>
  <c r="E35" i="9"/>
  <c r="E34" i="9"/>
  <c r="E33" i="9"/>
  <c r="E32" i="9"/>
  <c r="E31" i="9"/>
  <c r="E30" i="9"/>
  <c r="E29" i="9"/>
  <c r="E28" i="9"/>
  <c r="E27" i="9"/>
  <c r="E26" i="9"/>
  <c r="E25" i="9"/>
  <c r="E24" i="9"/>
  <c r="E23" i="9"/>
  <c r="E22" i="9"/>
  <c r="E21" i="9"/>
  <c r="E20" i="9"/>
  <c r="E19" i="9"/>
  <c r="E18" i="9"/>
  <c r="E17" i="9"/>
  <c r="E16" i="9"/>
  <c r="E15" i="9"/>
  <c r="C8" i="9"/>
  <c r="B8" i="9"/>
  <c r="C7" i="9"/>
  <c r="B7" i="9"/>
  <c r="C6" i="9"/>
  <c r="B14" i="9" s="1"/>
  <c r="B6" i="9"/>
  <c r="B13" i="9" s="1"/>
  <c r="B14" i="8"/>
  <c r="B15" i="8" s="1"/>
  <c r="B9" i="10" s="1"/>
  <c r="B13" i="8"/>
  <c r="B7" i="10" s="1"/>
  <c r="B12" i="8"/>
  <c r="B5" i="10" s="1"/>
  <c r="C7" i="8"/>
  <c r="B7" i="8"/>
  <c r="D7" i="8" s="1"/>
  <c r="C6" i="8"/>
  <c r="B6" i="8"/>
  <c r="D6" i="8" s="1"/>
  <c r="C5" i="8"/>
  <c r="C8" i="8" s="1"/>
  <c r="B5" i="8"/>
  <c r="D5" i="8" s="1"/>
  <c r="D8" i="8" l="1"/>
  <c r="B8" i="8"/>
  <c r="B6" i="10"/>
  <c r="B8" i="10"/>
</calcChain>
</file>

<file path=xl/sharedStrings.xml><?xml version="1.0" encoding="utf-8"?>
<sst xmlns="http://schemas.openxmlformats.org/spreadsheetml/2006/main" count="19261" uniqueCount="3022">
  <si>
    <t>IEEE - Estudos Primários</t>
  </si>
  <si>
    <t>Metadados organizados para rastreabilidade, auditoria e reprodução da RSL. Quantidade validada: 120 registros.</t>
  </si>
  <si>
    <t>ID do estudo</t>
  </si>
  <si>
    <t>Título</t>
  </si>
  <si>
    <t>Autores</t>
  </si>
  <si>
    <t>Ano</t>
  </si>
  <si>
    <t>Base de dados</t>
  </si>
  <si>
    <t>Tipo de estudo</t>
  </si>
  <si>
    <t>DOI</t>
  </si>
  <si>
    <t>Link</t>
  </si>
  <si>
    <t>Resumo</t>
  </si>
  <si>
    <t>Relevância para a pesquisa (Sim/Não)</t>
  </si>
  <si>
    <t>Questões de pesquisa atendidas (RQ1, RQ2, etc.)</t>
  </si>
  <si>
    <t>Observações</t>
  </si>
  <si>
    <t>P-IEEE-001</t>
  </si>
  <si>
    <t>Self-Adaptive Large Language Model (LLM)-Based Multiagent Systems</t>
  </si>
  <si>
    <t>N. Nascimento; P. Alencar; D. Cowan</t>
  </si>
  <si>
    <t>IEEE Xplore</t>
  </si>
  <si>
    <t>Primário</t>
  </si>
  <si>
    <t>10.1109/ACSOS-C58168.2023.00048</t>
  </si>
  <si>
    <t>https://ieeexplore.ieee.org/stamp/stamp.jsp?arnumber=10336211</t>
  </si>
  <si>
    <t>The complexity of managing multiagent systems (MASs) in autonomic computing can be mitigated using a self-adaptation approach, where systems are equipped to monitor and adjust themselves based on specific concerns. Communication in these systems is key given that in scenarios involving agent interaction, it enhances cooperation and reduces coordination challenges by enabling direct, clear information exchange. However, the tasks of boosting communication expressiveness within MASs and logically processing a multitude of variables in dynamic environments are still challenging. This paper presents a novel strategy: integrating large language models (LLMs) like GPT-based technologies into MASs to boost communication and agent autonomy. Our proposal encompasses the development of a novel LLM/GPT-based agent architecture, focusing not only on advanced conversation features but also on the reasoning and decision-making capacities of these models. This is grounded in the MAPE-K model, known for supporting system adaptability in dynamic environments. We illustrate our approach through a marketplace scenario. This work represents a paradigm shift in MAS self-adaptation, utilizing LLMs' capabilities and indicating further research opportunities to assess LLMs' applicability in more complex MAS scenarios. This could pave the way for more potent problem-solving capabilities and refined communication within MASs.</t>
  </si>
  <si>
    <t>Sim</t>
  </si>
  <si>
    <t>RQ2; RQ4; RQ5</t>
  </si>
  <si>
    <t>Confirma aderência temática ao escopo MAS–LLM no título/resumo. Registro sem duplicidade aparente no conjunto consolidado.</t>
  </si>
  <si>
    <t>P-IEEE-002</t>
  </si>
  <si>
    <t>Decentralized Multi-Agent System with Trust-Aware Communication</t>
  </si>
  <si>
    <t>Y. Ding; A. Twabi; J. Yu; L. Zhang; T. Kondo; H. Sato</t>
  </si>
  <si>
    <t>10.1109/ISPA67752.2025.00198</t>
  </si>
  <si>
    <t>https://ieeexplore.ieee.org/stamp/stamp.jsp?arnumber=11245224</t>
  </si>
  <si>
    <t>The emergence of Large Language Models (LLMs) is rapidly accelerating the development of autonomous multiagent systems (MAS), paving the way for the Internet of Agents. However, traditional centralized MAS architectures present significant challenges, including single points of failure, vulnerability to censorship, inherent scalability limitations, and critical trust issues. We propose a novel Decentralized Multi-Agent System (DMAS) architecture designed to overcome these fundamental problems by enabling trust-aware, scalable, and censorship-resistant interactions among autonomous agents. Our DMAS features a decentralized agent runtime underpinned by a blockchain-based architecture. We formalize a trust-aware communication protocol that leverages cryptographic primitives and on-chain operations to provide security properties: verifiable interaction cycles, communication integrity, authenticity, non-repudiation, and conditional confidentiality, which we further substantiate through a comprehensive security analysis. Our performance analysis validates the DMAS as a scalable and efficient solution for building trustworthy multi-agent systems.</t>
  </si>
  <si>
    <t>P-IEEE-003</t>
  </si>
  <si>
    <t>Architecture Design of Multi-Agent LLM Systems in Railway Data Governance</t>
  </si>
  <si>
    <t>Y. Cui; Y. Guo; C. Ren; C. Zhang; S. Shu; W. Peng; Z. Yin</t>
  </si>
  <si>
    <t>10.1109/HPCC67675.2025.00184</t>
  </si>
  <si>
    <t>https://ieeexplore.ieee.org/stamp/stamp.jsp?arnumber=11207346</t>
  </si>
  <si>
    <t>To address the challenges of manual dependency and complex management in railway data governance, and to promote data value realization, we propose DGMAS, a Data Governance Multi-Agent System based on Large Language Models (LLMs). The architectural design adopts a system comprising a mother system and three subsystems. The DGMAS comprises four critical phases: initialization, execution, re-planning, and failure attribution. Through this system, the process of railway data governance can be simulated, to help stakeholders anticipate potential issues and develop solutions, thereby supporting improved railway data governance.</t>
  </si>
  <si>
    <t>RQ4; RQ5</t>
  </si>
  <si>
    <t>P-IEEE-004</t>
  </si>
  <si>
    <t>Network Function Orchestration with LLM based Multi-Agent System</t>
  </si>
  <si>
    <t>J. Gemayel; A. Mokh</t>
  </si>
  <si>
    <t>10.1109/ICCWorkshops67674.2025.11162489</t>
  </si>
  <si>
    <t>https://ieeexplore.ieee.org/stamp/stamp.jsp?arnumber=11162489</t>
  </si>
  <si>
    <t>Large Language Models (LLMs) have significantly advanced the field of Natural Language Processing (NLP), enabling breakthroughs in contextual understanding, language generation, and reasoning. LLMs possess an intrinsic ability to act as orchestrators in dynamic and multifaceted environments. This work introduces a novel framework for dynamic function orchestration that leverages the reasoning capabilities of LLMs through Chain-of-Thought (CoT). The proposed framework comprises a sequence of three agents: a Semantic Router to direct user requests to the corresponding administrative domain, an Intent Translator to generate strategic plans utilizing a knowledge base containing 3GPP specifications, and a Resolver that selects and executes functions to fulfill the strategic plan. We systematically analyze the strengths and limitations of LLMs in collaborative orchestration, and demonstrate their capability to dynamically adapt to complex decision-making scenarios in the Telecom domain.</t>
  </si>
  <si>
    <t>P-IEEE-005</t>
  </si>
  <si>
    <t>UML-based domain ontology modeling for multi-agent system</t>
  </si>
  <si>
    <t>Wei Liu; Zong-Tian Liu; Kun Shao</t>
  </si>
  <si>
    <t>10.1109/ICMLC.2003.1264511</t>
  </si>
  <si>
    <t>https://ieeexplore.ieee.org/stamp/stamp.jsp?arnumber=1264511</t>
  </si>
  <si>
    <t>In multi-agent application system, ontologies play an important role in facilitating the share and reuse of knowledge. In the field of object-oriented modeling, Unified Modeling Language (UML) has become standard modeling language and is widely supported by robust commercial tools. This paper shows how UML can be exploited to design the domain ontology model of multi-agent system at the agent level, in particular presents and ontology model diagram by extending the UML class diagram, and discusses the reasoning on UML-based ontology model.</t>
  </si>
  <si>
    <t>Não</t>
  </si>
  <si>
    <t>RQ3</t>
  </si>
  <si>
    <t>Sem evidência suficiente para confirmar aderência temática ao escopo MAS–LLM no título/resumo. Registro sem duplicidade aparente no conjunto consolidado.</t>
  </si>
  <si>
    <t>P-IEEE-006</t>
  </si>
  <si>
    <t>MultiFuzz: A Dense Retrieval-based Multi-Agent System for Network Protocol Fuzzing</t>
  </si>
  <si>
    <t>Y. Maklad; F. Wael; A. Hamdi; W. Elsersy; K. Shaban</t>
  </si>
  <si>
    <t>10.1109/AICCSA66935.2025.11315267</t>
  </si>
  <si>
    <t>https://ieeexplore.ieee.org/stamp/stamp.jsp?arnumber=11315267</t>
  </si>
  <si>
    <t>Traditional protocol fuzzing techniques, such as those employed by AFL-based systems, often lack effectiveness due to a limited semantic understanding of complex protocol grammars and rigid seed mutation strategies. Recent works, such as ChatAFL, have integrated Large Language Models (LLMs) to guide protocol fuzzing and address these limitations, pushing protocol fuzzers to wider exploration of the protocol state space. But ChatAFL still faces issues like unreliable output, LLM hallucinations, and assumptions of LLM knowledge about protocol specifications. This paper introduces MultiFuzz, a novel dense retrieval-based multi-agent system designed to overcome these limitations by integrating semantic-aware context retrieval, specialized agents, and structured tool-assisted reasoning. MultiFuzz utilizes agentic chunks of protocol documentation (RFC Documents) to build embeddings in a vector database for a retrieval-augmented generation (RAG) pipeline, enabling agents to generate more reliable and structured outputs, enhancing the fuzzer in mutating protocol messages with enhanced state coverage and adherence to syntactic constraints. The framework decomposes the fuzzing process into modular groups of agents that collaborate through chain-of-thought reasoning to dynamically adapt fuzzing strategies based on the retrieved contextual knowledge. Experimental evaluations on the Real-Time Streaming Protocol (RTSP) demonstrate that MultiFuzz significantly improves branch coverage and explores deeper protocol states and transitions over state-of-the-art (SOTA) fuzzers such as NSFuzz, AFLNet, and ChatAFL. By combining dense retrieval, agentic coordination, and language model reasoning, MultiFuzz establishes a new paradigm in autonomous protocol fuzzing, offering a scalable and extensible foundation for future research in intelligent agentic-based fuzzing systems.</t>
  </si>
  <si>
    <t>RQ1; RQ2; RQ4; RQ5; RQ6</t>
  </si>
  <si>
    <t>P-IEEE-007</t>
  </si>
  <si>
    <t>Control Industrial Automation System with Large Language Model Agents</t>
  </si>
  <si>
    <t>Y. Xia; N. Jazdi; J. Zhang; C. Shah; M. Weyrich</t>
  </si>
  <si>
    <t>10.1109/ETFA65518.2025.11205539</t>
  </si>
  <si>
    <t>https://ieeexplore.ieee.org/stamp/stamp.jsp?arnumber=11205539</t>
  </si>
  <si>
    <t>Traditional industrial automation systems require specialized expertise to operate and complex reprogramming to adapt to new processes. Large language models offer the intelligence to make them more flexible and easier to use. However, LLMs’ application in industrial automation settings is underexplored. This paper introduces a framework for integrating LLMs to achieve end-to-end control of industrial automation systems. At the core of the framework is an agent system designed for industrial automation tasks. A structured prompting method and an event-driven modeling mechanism provide the information for LLMs to perform reasoning on different context levels, allowing them to semantically interpret the information, generate production plans, and control operations on the automation system. Furthermore, this framework facilitates the creation of structured datasets for fine-tuning LLMs on this specific downstream application. Our contribution includes a formal system design, proof-of-concept implementation, and a method for generating task-specific datasets for LLM fine-tuning and testing. This approach enables a more adaptive automation system that can respond to spontaneous events, allowing intuitive system operation and configuration through natural language. Demo videos and detailed evaluation data are accessible on GitHub: https://github.com/YuchenXia/LLM4IAS.</t>
  </si>
  <si>
    <t>RQ4</t>
  </si>
  <si>
    <t>P-IEEE-008</t>
  </si>
  <si>
    <t>AutoHMA-LLM: Efficient Task Coordination and Execution in Heterogeneous Multi-Agent Systems Using Hybrid Large Language Models</t>
  </si>
  <si>
    <t>T. Yang; P. Feng; Q. Guo; J. Zhang; X. Zhang; J. Ning; X. Wang; Z. Mao</t>
  </si>
  <si>
    <t>10.1109/TCCN.2025.3528892</t>
  </si>
  <si>
    <t>https://ieeexplore.ieee.org/stamp/stamp.jsp?arnumber=10839354</t>
  </si>
  <si>
    <t>Heterogeneous multi-agent systems (HMAS) comprise various intelligent agents with specialized functions, such as drones, ground robots, and automated devices, working in coordinated settings. This paper presents AutoHMA-LLM, a novel framework that combines Large Language Models (LLMs) with classical control algorithms to address the challenges of task coordination and scheduling in complex, dynamic environments. The framework is designed with a multi-tier architecture, utilizing a cloud-based LLM as the central planner alongside device-specific LLMs and Generative Agents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AutoHMA-LLM demonstrated a 5.7% improvement in task completion accuracy, a 46% reduction in communication steps, and a 31% decrease in token usage and API calls compared to baseline methods. These results highlight our framework’s scalability and efficiency, offering substantial support for effective multi-agent collaboration in complex, resource-constrained environments.</t>
  </si>
  <si>
    <t>Confirma aderência temática ao escopo MAS–LLM no título/resumo. Registro também identificado em outra base ou categoria de busca.</t>
  </si>
  <si>
    <t>P-IEEE-009</t>
  </si>
  <si>
    <t>Distributed Multi-Agent AI Systems: Scalability, Challenges, and Applications</t>
  </si>
  <si>
    <t>E. T. C. Chagas; A. Houmansadr; F. G. Guimarães; H. S. Ramos</t>
  </si>
  <si>
    <t>10.1109/ICDCSW63273.2025.00083</t>
  </si>
  <si>
    <t>https://ieeexplore.ieee.org/stamp/stamp.jsp?arnumber=11262644</t>
  </si>
  <si>
    <t>With the rapid advancement of generative AI and autonomous agents, multi-agent systems (MASs) have emerged as a key paradigm for enabling groups of intelligent agents to coordinate, share knowledge, and collaboratively solve complex problems in distributed environments. These systems not only inherit classical challenges from distributed computing-such as scalability, fault tolerance, and efficient communication-but also introduce novel issues arising from the dynamic and autonomous interactions between AI agents. As a result, MASs constitute an active research area with numerous open problems and nontrivial challenges. This tutorial provides a comprehensive introduction to MASs fundamentals, covering the state-of-the-art methodologies, core architectural patterns, and the critical trade-offs involved in designing scalable distributed applications. Participants will engage with both the theoretical underpinnings and practical implementations of MASs, leveraging LangGraph, a widely adopted framework for developing collaborative AI agent workflows.</t>
  </si>
  <si>
    <t>RQ2; RQ4; RQ5; RQ6</t>
  </si>
  <si>
    <t>Sem evidência suficiente para confirmar aderência temática ao escopo MAS–LLM no título/resumo. Registro também identificado em outra base ou categoria de busca.</t>
  </si>
  <si>
    <t>P-IEEE-010</t>
  </si>
  <si>
    <t>Enabling Synergistic Knowledge Sharing and Reasoning in Large Language Models with Collaborative Multi-Agents</t>
  </si>
  <si>
    <t>A. Das; S. -C. Chen; M. -L. Shyu; S. Sadiq</t>
  </si>
  <si>
    <t>10.1109/CIC58953.2023.00021</t>
  </si>
  <si>
    <t>https://ieeexplore.ieee.org/stamp/stamp.jsp?arnumber=10429926</t>
  </si>
  <si>
    <t>Despite the significant advancements in the field of Natural Language Processing (NLP), Large Language Models (LLMs) have shown limitations in performing complex tasks that require arithmetic, commonsense, and symbolic reasoning. Reasoning frameworks like ReAct, Chain-of-thought (CoT), Tree-of-thoughts (ToT), etc. have shown success but with limitations in solving long-form complex tasks. To address this, we pro-pose a knowledge-sharing and collaborative multi-agent assisted framework on LLMs that leverages the capabilities of existing reasoning frameworks and the collaborative skills of multi-agent systems (MASs). The objectives of the proposed framework are to overcome the limitations of LLMs, enhance their reasoning capabilities, and improve their performance in complex tasks. It involves generating natural language rationales and in-context few-shot learning via prompting, and integrates the reasoning techniques with efficient knowledge-sharing and communication-driven agent networks. The potential benefits of the proposed framework include saving time and money, improved efficiency for computationally intensive reasoning, and the ability to incor-porate multiple collaboration strategies for dynamically changing environments.</t>
  </si>
  <si>
    <t>P-IEEE-011</t>
  </si>
  <si>
    <t>Onto2MAS: An Ontology-Based Framework for Automatic Multi-Agent System Generation</t>
  </si>
  <si>
    <t>C. Donzelli; S. A. Kidanu; R. Chbeir; Y. Cardinale</t>
  </si>
  <si>
    <t>10.1109/SITIS.2016.67</t>
  </si>
  <si>
    <t>https://ieeexplore.ieee.org/stamp/stamp.jsp?arnumber=7907494</t>
  </si>
  <si>
    <t>Multi-Agent Systems (MASs) have received muchattention in recent years because of their advantages on modelingcomplex distributed systems. Current modeling languages andmethodologies that support the construction of such systemsrequire the use of different tools to complete their design, development, and deployment. However, the development of MASsremains a complicated task, which demands time and specialprogramming skills. This paper proposes a framework, calledOnto2MAS, to provide developers an automatic generation ofMASs, based on an ontology to assist the easy definition of agentsinteraction and knowledge. With Onto2MAS, the complexityof the development process of MASs is reduced and an easyway to design uniform communication, messages exchanging, and generation of new knowledge in the system is provided. Todemonstrate the efficiency of our approach, we also present theresults of the experimental tests that we conducted with a firstimplementation of Onto2MAS, called OnToJade.</t>
  </si>
  <si>
    <t>RQ2; RQ3; RQ4</t>
  </si>
  <si>
    <t>P-IEEE-012</t>
  </si>
  <si>
    <t>Leveraging Multi-Agent Systems and Large Language Models for Diabetes Knowledge Graphs</t>
  </si>
  <si>
    <t>D. H. Ho; U. Das; R. Ho; Y. Lee</t>
  </si>
  <si>
    <t>10.1109/BigData62323.2024.10825608</t>
  </si>
  <si>
    <t>https://ieeexplore.ieee.org/stamp/stamp.jsp?arnumber=10825608</t>
  </si>
  <si>
    <t>This paper presents a novel framework for constructing a diabetes-specific knowledge graph (KG) using a streamlined multi-agent system powered by Gemini-based Large Language Models (LLMs). Leveraging insights from the 2016 National Diabetes Survey (NNDS) conducted by the National Diabetes Education Program (NDEP), the framework extracts critical variables related to diagnosis, risk perception, medical advice, and self-management practices across diverse U.S. populations. By processing data from the NNDS’s extensive 94-question survey, the methodology performs adaptive ontology mapping using APIs for six major medical standards (e.g., SNOMED CT, ICD-11), ensuring semantic interoperability. Relationships between variables are identified and structured using RDF, RDFS, and OWL standards. The integration of LLMs with ontology tools like Protégé enhances automation and scalability. Results demonstrate the framework’s effectiveness in generating contextually rich and clinically relevant knowledge graphs, providing a robust foundation for advancing healthcare informatics and personalized diabetes management.</t>
  </si>
  <si>
    <t>RQ1; RQ3; RQ4; RQ5</t>
  </si>
  <si>
    <t>P-IEEE-013</t>
  </si>
  <si>
    <t>A Comparative Study Towards Designing a Hybrid Architecture of Microservices and LLM-based Multi-Agent Systems</t>
  </si>
  <si>
    <t>P. Yazdanian; Y. Liu; Z. Li</t>
  </si>
  <si>
    <t>10.1109/APSEC66846.2025.00077</t>
  </si>
  <si>
    <t>https://ieeexplore.ieee.org/stamp/stamp.jsp?arnumber=11396570</t>
  </si>
  <si>
    <t>LLM-based Multi-Agent Systems (LLM-MAS) present an emerging paradigm for constructing intelligent and adaptive applications that enable autonomous reasoning and collaborative problem-solving. Empirical studies show that current LLM-MAS still suffers from overlapping agent roles, unclear capabilities, and goal misalignment. In contrast, Microservice Systems (MS) are designed with modularity, and each service encapsulates a well-defined context and interface with structured and deterministic execution. From the system architecture principles, these paradigms demonstrate parallel attributes and complementary strengths that lead to a synthesized hybrid architecture. In this paper, we analyze the design factors of hybrid MS and LLM-MAS, as well as the main challenges, through a comparative study across eight architectural dimensions, including function encapsulation, orchestration, API design, auto-correction, data communication, operations, quality attributes, and environment awareness. The analysis reveals critical mismatches, design synergies, and transferable best practices. To motivate future work, we define four research questions to categorize the challenges. The goal is to create a converging design space for exploring architecture design towards intelligent, autonomous, modular, and adaptive systems.</t>
  </si>
  <si>
    <t>P-IEEE-014</t>
  </si>
  <si>
    <t>A model design of multi-agent systems</t>
  </si>
  <si>
    <t>S. Maalal; M. Addou</t>
  </si>
  <si>
    <t>10.1109/ICMCS.2011.5945725</t>
  </si>
  <si>
    <t>https://ieeexplore.ieee.org/stamp/stamp.jsp?arnumber=5945725</t>
  </si>
  <si>
    <t>This study falls within the framework of agent-oriented software engineering, process design methodologies and development of a MAS. In our approach, we try to describe a generic and scalable method of a MAS with a component-oriented architecture and agent-based approach that allows MDA to generate source code from a given model. We begin by designing class diagrams of different agents of a MAS on AUML. Then we generate the source code of the models developed using an open source tool called AndroMDA. This agent-based and evolutive approach enhances the modularity and genericity developments and promotes their reusability in future developments. This property distinguishes our design methodology of existing methodologies in that it is constrained by any particular agent-based model while providing a library of generic models.</t>
  </si>
  <si>
    <t>P-IEEE-015</t>
  </si>
  <si>
    <t>Multi-agent Self-Reflection Framework: Enhancing the Logical Reasoning Ability of Large Language Models through API Interaction</t>
  </si>
  <si>
    <t>X. Zhang</t>
  </si>
  <si>
    <t>10.1109/ICDSCA67083.2025.11350185</t>
  </si>
  <si>
    <t>https://ieeexplore.ieee.org/stamp/stamp.jsp?arnumber=11350185</t>
  </si>
  <si>
    <t>In response to the problems such as the broken reasoning chains and insufficient self-correction ability of large language models (LLMs) in complex logical reasoning tasks, this paper proposes a multi-agent self-reflection framework. It achieves distributed reflection and collaborative reasoning among agents through standardized API interactions. This framework consists of four major modules: task decomposition, agent cluster, API interaction layer, and reflection integration. It designs three levels of reflection degrees: local reflection, cross-reflection, and global reflection. It also implements agent collaboration based on API protocols such as reasoning chain sharing and reflection requests. Experimental results show that on datasets such as GSM8K (mathematical reasoning), COPA (causal reasoning), and PrOntoQA (multi-step decision-making reasoning), this framework outperforms single-agent LLMs (such as GPT-4) by 12.3%, 9.7%, and 15.6% respectively. Especially in high-complexity tasks, its performance advantage is significant. Ablation experiments verify that the API interaction layer contributes 31.2% to the reasoning performance. The study indicates that distributed reflection achieved through API interactions among multiple agents can effectively break through the cognitive limitations of a single model, providing a new paradigm for enhancing the logical reasoning ability of LLMs.</t>
  </si>
  <si>
    <t>RQ1; RQ4; RQ5</t>
  </si>
  <si>
    <t>P-IEEE-016</t>
  </si>
  <si>
    <t>Towards an approach for behavioral specification of reactive multi-agent system</t>
  </si>
  <si>
    <t>A. Haqiq; B. Bounabat</t>
  </si>
  <si>
    <t>10.1109/ICTA.2015.7426924</t>
  </si>
  <si>
    <t>https://ieeexplore.ieee.org/stamp/stamp.jsp?arnumber=7426924</t>
  </si>
  <si>
    <t>Reactive Multi-Agent system (RMAS) has emerged as an attractive technology for the design and implementation of distributed and cooperative systems. The RMAS main challenge is how to clearly identify its local and global behavior. Several approaches have been introduced to deal with behavioral specification of RMAS. However, there is a lack in the specification and verification process that facilitates understanding the system from goals identification that the system expects to achieve to formal verification of system properties. In this paper, we are interested to the specification problem of Reactive Multi-Agent System (RMAS) for both individual and collective behavior by taking into account two modes of specification: normal mode and fault-tolerance mode. To do so, we propose a method called BECAMEDA (Behavioral SpEcification and VerifiCAtion of RMAS based on E-MDRA) for the specification and verification of reactive Multi-agent system based on the MDRA (Multi-Decisional Reactive Agent) models. The MDRA specifies the reactive agent behavior by highlighting the decisional aspect of the agent. The BECAMEDA method will be described throughout an example of Car Crisis Management.</t>
  </si>
  <si>
    <t>RQ5</t>
  </si>
  <si>
    <t>P-IEEE-017</t>
  </si>
  <si>
    <t>Enhancing Clinical Decision-Making: Integrating Multi-Agent Systems with Ethical AI Governance</t>
  </si>
  <si>
    <t>Y. -J. Chen; A. Albarqawi; C. -S. Chen</t>
  </si>
  <si>
    <t>10.1109/CIBCB66090.2025.11177136</t>
  </si>
  <si>
    <t>https://ieeexplore.ieee.org/stamp/stamp.jsp?arnumber=11177136</t>
  </si>
  <si>
    <t>Recent advances in the data-driven medicine approach, which integrates ethically managed and explainable artificial intelligence into clinical decision support systems (CDSS), are critical to ensure reliable and effective patient care. This paper focuses on comparing novel agent system designs that use modular agents to analyze laboratory results, vital signs, and clinical context, and to predict and validate results. We implement our agent system with the eICU database, including running lab analysis, vitals-only interpreters, and contextual reasoners agents first, then sharing the memory into the integration agent, prediction agent, transparency agent, and a validation agent. Our results suggest that the multi-agent system (MAS) performed better than the single-agent system (SAS) with mortality prediction accuracy (59%, 56%) and the mean error for length of stay (LOS)(4.37 days, 5.82 days), respectively. However, the transparency score for the SAS (86.21) is slightly better than the transparency score for MAS (85.5). Finally, this study suggests that our agent-based framework not only improves process transparency and prediction accuracy but also strengthens trustworthy AI-assisted decision support in an intensive care setting.</t>
  </si>
  <si>
    <t>RQ1; RQ4</t>
  </si>
  <si>
    <t>P-IEEE-018</t>
  </si>
  <si>
    <t>Large Language Model Enhanced Multi-Agent Systems for 6G Communications</t>
  </si>
  <si>
    <t>F. Jiang; Y. Peng; L. Dong; K. Wang; K. Yang; C. Pan; D. Niyato; O. A. Dobre</t>
  </si>
  <si>
    <t>10.1109/MWC.016.2300600</t>
  </si>
  <si>
    <t>https://ieeexplore.ieee.org/stamp/stamp.jsp?arnumber=10638533</t>
  </si>
  <si>
    <t>The rapid development of the large language model (LLM) presents huge opportunities for 6G communications – for example, network optimization and management – by allowing users to input task requirements to LLMs with natural language. However, directly applying native LLMs in 6G encounters various challenges, such as a lack of communication data and knowledge, and limited logical reasoning, evaluation, and refinement abilities. Integrating LLMs with the capabilities of retrieval, planning, memory, evaluation, and reflection in agents can greatly enhance the potential of LLMs for 6G communications. To this end, we propose CommLLM, a multi-agent system with customized communication knowledge and tools for solving communication-related tasks using natural language. This system consists of three components: multi-agent data retrieval (MDR), which employs the condensate and inference agents to refine and summarize communication knowledge from the knowledge base, expanding the knowledge boundaries of LLMs in 6G communications; multi-agent collaborative planning (MCP), which utilizes multiple planning agents to generate feasible solutions for the communication-re-lated task from different perspectives based on the retrieved knowledge; and multi-agent evaluation and reflection (MER), which utilizes the evaluation agent to assess the solutions, and applies the reflection agent and refinement agent to provide improvement suggestions for current solutions. Finally, we validate the effectiveness of the proposed multi-agent system by designing a semantic communication system as a case study of 6G communications.</t>
  </si>
  <si>
    <t>RQ2; RQ5</t>
  </si>
  <si>
    <t>P-IEEE-019</t>
  </si>
  <si>
    <t>Analysing the Role of Multi-Agent AI Models for Autonomous Business Decision Systems</t>
  </si>
  <si>
    <t>C. Tayal; S. Murumkar; S. Biradar</t>
  </si>
  <si>
    <t>10.1109/CCWC67433.2026.11393746</t>
  </si>
  <si>
    <t>https://ieeexplore.ieee.org/stamp/stamp.jsp?arnumber=11393746</t>
  </si>
  <si>
    <t>The autonomous business decision systems are now the centre of organisational competitiveness as organisations continue to work in volatile and increasingly data-intensive and interdependent environments. The use of multi-agent systems (MAS) can provide an effective paradigm, which facilitates decentralised, adaptive and collaborative intelligence with distributed agents perceiving environments and negotiating actions and autonomous optimisation. This paper is a critical assessment of how multi-agent AI models, such as logic agents, multi-agent reinforcement learning (MARL), agents based on large language models, agent development systems, simulation systems, and self-evolving agents' systems, have contributed to autonomous business decision systems. Systematic literature reviews, simulations, enterprise case studies and foundation-model based research and decision intelligence (DI) frameworks evidence shows how multi agent strategies provides increased robustness, scalability and responsiveness to the complex organisational domains. Simulation-based research using MAS is seen to be able to model emerging behaviours, test organisational conditions and uncertainty within energy system, construction, logistics and financial fields. The further reinforcement learning and cooperative decision modelling enhance MAS autonomy as it provides the ability to optimise the learning of dynamic environments. Similar results are presented by the research of Automated Machine Learning (AutoML) that demonstrates that automated model development helps lower technical barriers and speeds up its deployment and enables adaptive decision pipelines. Decision Intelligence literature displays how organisations can restructure decision-making with the help of AI to construct data pipelines, and provide human-computer interaction. Although issues remain, such as explainability, cost of coordination and data governance, there is strong evidence that MAS constitute a backbone architecture to next generation autonomous decision ecosystems according to all sources. The given synthesis illustrates how multi-agent AI may be used as a strategic foundation of predictive, operational and strategic automation of decisions in contemporary businesses.</t>
  </si>
  <si>
    <t>P-IEEE-020</t>
  </si>
  <si>
    <t>Modelling interaction scenarios in multi-agent systems</t>
  </si>
  <si>
    <t>M. Orlic; B. Mihaljevic; M. Zagar</t>
  </si>
  <si>
    <t>10.1109/ITI.2006.1708509</t>
  </si>
  <si>
    <t>https://ieeexplore.ieee.org/stamp/stamp.jsp?arnumber=1708509</t>
  </si>
  <si>
    <t>Multi-agent systems (MAS) offer to solve problems in complex system and application domains, but are also complex environments. Standardization in the area of agent communication has led to development of MAS frameworks, simplifying MAS development. Agent interactions are essential for agents to exhibit their social abilities, and interaction scenarios for commonly known, standard interaction protocols, can be seen as building blocks of successful multi-agent systems. This article presents an introduction to interaction scenario modelling and code generation techniques, allowing quick prototyping of agent interactions and creation of agents implementing scenario roles</t>
  </si>
  <si>
    <t>RQ2; RQ3; RQ5</t>
  </si>
  <si>
    <t>P-IEEE-021</t>
  </si>
  <si>
    <t>Decentralized Identification and Communitycorroborated for Multi-Agent Access Control and Trust Management</t>
  </si>
  <si>
    <t>Z. Chden; T. Wang; N. Zhou; D. Chen</t>
  </si>
  <si>
    <t>10.1109/BigData66926.2025.11401974</t>
  </si>
  <si>
    <t>https://ieeexplore.ieee.org/stamp/stamp.jsp?arnumber=11401974</t>
  </si>
  <si>
    <t>As autonomous AI agents become increasingly prevalent across digital ecosystems, ensuring secure and verifiable access control and trust management in multi-agent systems (MAS) is critical to achieving trustworthy outcomes. This position paper examines the key challenges and opportunities in this area and summarizes our recent research on the subject. We constructed a layered model of the contemporary AI agent technology stack, spanning from infrastructure and foundational models to AI operating systems and execution environments, external interaction and tooling, orchestration and intelligence, and management, operations and user experience. The model also incorporates dual flow of data, context or query as input and the corresponding generated, reasoned, or actioned as output to form a closed loop of perception, deliberation, and execution. This layered model provides a comprehensive visualization of the structural and operational challenges faced in secure multi-agent collaboration. We worked with credential-enriched Portfolio Artifact (PA) collections-structured, verifiable profiles and credentials that capture an agent's behavioral patterns, operational capabilities, execution environment, and interaction history. These artifacts are securely stored and managed in decentralized storage, ensuring tamper-resistant updates and full auditability. Our implementation leverages Ethereum-based on-chain and off-chain technologies to achieve scalability and transparency in decentralized trust management. To enable efficient and secure PA retrieval and credential verification, we designed a non-interactive cryptographic retrieval verification protocol (PA-RVP) that allows agents to retrieve and validate the Physically Unclonable Function (PUF) hardware credentials of other agents without requiring real-time negotiation or centralized mediation. The proposed scenarios and protocol can be readily adapted to other PA configurations for credential retrieval and verification. We developed MAS Community Corroboration (MAS-CC) protocol, an adaptive feedback update mechanism in which each agent maintains and updates a dynamic trust table containing trust levels for its connected agents. These trust levels evolve through mutual corroboration among agents whose trust tables are periodically exchanged. The initial assignment of trust levels is to be performed using their corresponding PAs and a trained machine learning model based on pre-set metrics. The MAS-CC protocol extends the principles of Zero Trust Architecture (ZTA) by introducing community-based trust reinforcement as an additional tenet. However, the quality and verifiability of such trust-built models remain open challenges. This work presents a unified and extensible architecture for secure AI agent collaboration, providing a foundation for developing resilient, federated, and interoperable MAS ecosystems that support dynamic trust evaluation, policy enforcement, and coordinated intelligence across technical and organizational boundaries.</t>
  </si>
  <si>
    <t>RQ1; RQ2; RQ4; RQ5</t>
  </si>
  <si>
    <t>P-IEEE-022</t>
  </si>
  <si>
    <t>An Architecture for Integrating Large Language Models with Digital Twins and Automation Systems</t>
  </si>
  <si>
    <t>Y. Xia; N. Jazdi; M. Weyrich</t>
  </si>
  <si>
    <t>10.1109/ETFA65518.2025.11205636</t>
  </si>
  <si>
    <t>https://ieeexplore.ieee.org/stamp/stamp.jsp?arnumber=11205636</t>
  </si>
  <si>
    <t>Large Language Models (LLMs) offer flexible reasoning capability but lack physical embodiment, while traditional automation systems can execute physical processes yet lack cognitive capability. This paper presents a layered architecture that bridges this gap by integrating LLMs with digital twins and physical automation systems, with reference to practical case studies as proof of concept. The proposed architecture comprises three layers: a cognitive layer powered by LLMs, a bridging layer based on digital twins, and a physical layer consisting of technical process and automation system. Within the digital twin layer, we introduce three design paradigms for structuring information to support effective LLM integration: state snapshot modeling, event message modeling, and plan sequence modeling. These paradigms are demonstrated through prototypical case studies on robotic automation control and process simulation. To address challenges such as hallucination, task complexity, and system reliability, we distill a set of practical strategies, including multi-agent system design, human validation, and test-driven development. Additionally, we propose the concept of "Return on Intelligence" as a conceptual tool for evaluating the efficacy of investments in intelligent automation. This research contributes to the theoretical foundation and the architecture design for developing intelligent, adaptive automation systems powered by LLMs.</t>
  </si>
  <si>
    <t>P-IEEE-023</t>
  </si>
  <si>
    <t>Conversational AI-Powered Multi-Agent System for Mobile Application Accessibility Compliance: A RAG-Enhanced Pipeline Design</t>
  </si>
  <si>
    <t>N. Kim; B. Bae</t>
  </si>
  <si>
    <t>10.1109/ICTC66702.2025.11388949</t>
  </si>
  <si>
    <t>https://ieeexplore.ieee.org/stamp/stamp.jsp?arnumber=11388949</t>
  </si>
  <si>
    <t>Mobile application accessibility compliance remains a significant challenge for developers, requiring extensive manual consultation of complex guidelines such as WCAG 2.1 and Korean Mobile Application Content Accessibility Guidelines 2.1 (KS X 3253:2025). This paper presents a novel dual-agent pipeline design leveraging Large Language Models (LLMs) and Retrieval-Augmented Generation (RAG) to streamline accessibility analysis and solution guidance. Our proposed system consists of two specialized agents: a Problem Analysis Agent that provides detailed accessibility issue examination and guideline mapping, and a Solution Support Agent that generates contextual remediation strategies. The pipeline integrates vector-based knowledge retrieval from accessibility documentation, potentially reducing the manual effort required for developers and evaluators to consult guidelines and implement accessibility improvements. This work contributes a systematic pipeline architecture that could significantly enhance the efficiency of mobile accessibility compliance workflows.</t>
  </si>
  <si>
    <t>P-IEEE-024</t>
  </si>
  <si>
    <t>CoMAS-HPC: A Collaborative Multi-Agent System for HPC Administration</t>
  </si>
  <si>
    <t>P. Tejas Vinay; S. K. Saurav</t>
  </si>
  <si>
    <t>10.1109/SCI68648.2025.11333875</t>
  </si>
  <si>
    <t>https://ieeexplore.ieee.org/stamp/stamp.jsp?arnumber=11333875</t>
  </si>
  <si>
    <t>The administration of modern High-Performance Computing (HPC) systems is increasingly complex, with growing scale, heterogeneous resources, and massive telemetry streams overwhelming human operators. Traditional single-agent or monolithic approaches struggle to cope with this complexity, resulting in reactive problem-solving and limited scalability. To address these challenges, we propose CoMAS-HPC, a collaborative multi-agent system in which specialized agents autonomously manage distinct administrative domains, such as workload management, performance analysis, and anomaly detection. This architecture shifts HPC administration from a centralized, rigid approach to a distributed, adaptive system capable of parallel, domain-specific reasoning. Implemented using the Google Agent Development Kit (ADK), agents communicate via a lightweight RESTful Agent-to-Agent (A2A) interface, while the Model Context Protocol (MCP) standardizes access to HPC resources. To showcase the efficacy of CoMAS-HPC in a straightforward and reproducible manner, we evaluated the system on a single node; however, the architecture is inherently scalable and imposes no limitations on deployment across multi-node HPC clusters, with performance scaling primarily determined by telemetry volume rather than algorithmic constraints. We demonstrate the system’s efficacy through use cases including automated memory anomaly diagnosis and emergency thermal crisis response. In the thermal crisis scenario, coordinated multi-agent intervention resolved the situation within five minutes while preventing hardware damage. These results validate that a collaborative, multi-agent approach provides a scalable, robust, and adaptive foundation for HPC administration, enabling autonomous operations and elevating human operators to strategic oversight roles.</t>
  </si>
  <si>
    <t>P-IEEE-025</t>
  </si>
  <si>
    <t>Formal Modelling of the Multiple Trains Following Operation in Uncertain Environments</t>
  </si>
  <si>
    <t>X. Wang; Y. Xu; J. Liu; G. Wu; S. Chen</t>
  </si>
  <si>
    <t>10.1109/ISKE60036.2023.10481339</t>
  </si>
  <si>
    <t>https://ieeexplore.ieee.org/stamp/stamp.jsp?arnumber=10481339</t>
  </si>
  <si>
    <t>Ensuring the safety of the following operation under moving block signal is very important for safe operation. Now that the Train Control system under Moving Block Signal (TC-MBS) is a distributed, complex, dynamic, and highly interactive system, the proposed method uses the Multi-Agent System (MAS) technique to design, model, and analyse the TC-MBS system. This paper describes implementing formal methods for modelling the TC-MBS system that operates in an uncertain environment and its safety verification based on model checking techniques. First, the multi-mode following operation in an uncertain environment is analysed using the decision table technique. Second, we introduce a creative modelling approach for MAS called UML-MAS to build the semi-formal model of the TC-MBS system. UML-MAS acts as a standard interface for the system designers and infrastructure managers to increase their requirement comprehension, analysis, system design, and scheme planning at the conceptual level. Thirdly, a set of rules is suggested to convert UML-MAS model into Vector-based Interpreted Systems Programming Language (VISPL) model, which serves as the input for the model checker MCMAS- T. In order to demonstrate the practicality and effectiveness of the suggested approach, some case studies on modelling the TC-MBS systems while considering various scenarios in an uncertain environment and their verification employing MCMAS- Tare presented.</t>
  </si>
  <si>
    <t>P-IEEE-026</t>
  </si>
  <si>
    <t>Role-Playing LLM-Based Multi-Agent Support Framework for Detecting and Addressing Family Communication Bias</t>
  </si>
  <si>
    <t>R. Harada; Y. Kimura; K. Inoshita</t>
  </si>
  <si>
    <t>10.1109/CyberSciTech68397.2025.00101</t>
  </si>
  <si>
    <t>https://ieeexplore.ieee.org/stamp/stamp.jsp?arnumber=11323415</t>
  </si>
  <si>
    <t>Well-being in family settings involves subtle psychological dynamics that conventional metrics often , overlook. In particular, unconscious parental expectations termed ideal parent bias, can suppress children’s emotional expression and autonomy. This suppression, referred to as suppressed emotion, often stems from well-meaning but value-driven communication, which is hard to detect or address from outside the family context. Focusing on these latent dynamics, this study explores Large Language Model (LLM)-based support for psychologically safe family communication. We constructed a Japanese parent–child dialogue corpus of 30 scenarios, each annotated with metadata on ideal parent bias and suppressed emotion. Based on this corpus, we developed a role-playing LLM-based multi-agent dialogue support framework that analyzes dialogue and generates feedback. Specialized agents detect suppressed emotion, describe implicit ideal parent bias in parental speech, and infer contextual attributes such as the child’s age and background. A meta-agent compiles these outputs into a structured report, which is then passed to five selected expert agents. These agents collaboratively generate empathetic and actionable feedback through a structured four-step discussion process. Experiments show that the system can detect categories of suppressed emotion with reasonable discrimination, and produce feedback rated highly in empathy and practicality. Moreover, simulated follow-up dialogues incorporating this feedback exhibited signs of improved emotional expression and mutual understanding, suggesting the framework’s potential to support positive transformation in family interactions.</t>
  </si>
  <si>
    <t>P-IEEE-027</t>
  </si>
  <si>
    <t>Towards Communication Efficient Multi-Agent Cooperations: Reinforcement Learning and LLM</t>
  </si>
  <si>
    <t>Y. Su; Y. Du; Y. Deng; M. Dohler</t>
  </si>
  <si>
    <t>10.1109/TVT.2025.3627237</t>
  </si>
  <si>
    <t>https://ieeexplore.ieee.org/stamp/stamp.jsp?arnumber=11222615</t>
  </si>
  <si>
    <t>Multi-agent systems (MAS) have gained popularity due to their effectiveness in diverse applications. Among these, decentralized approaches, which rely on inter-agent communication, have emerged as a promising alternative to centralized MAS coordination methods. However, existing communication protocols often learn abstract representations that are difficult for humans to interpret. Also, the limited wireless bandwidth in real-world applications imposes a significant challenge on efficient communication among agents. To address these issues, in this paper, we consider a multi-robot navigation scenario and propose a goal-oriented human-interpretable feature communication protocol, enabling robots to transmit only the most semantically important features. Building on this protocol, we first introduce a Multi-Agent Proximal Policy Optimization (MAPPO)-based Bandwidth-Adaptive Dual-Policy (MAPPO BDP) framework, which employs a dual-policy architecture to jointly optimize feature selection and navigation under bandwidth constraints. However, as MAPPO-BDP requires retraining for different bandwidth constraints, we further propose a Large Language Model (LLM)-based Bandwidth-Adaptive Dual-Policy (LLM-BDP) framework. By leveraging LLM-based multi-agents, LLM-BDP can adapt to varying bandwidth constraints by simply modifying the input prompt, thereby eliminating the need for re training. Experimental results show that both MAPPO-BDP and LLM-BDP frameworks successfully complete navigation tasks within a limited number of steps by effectively communicating the most important features under bandwidth constraints. We demonstrate that LLM-BDP achieves better reasoning adapt ability by utilizing more advanced LLMs and engineering example prompts. Notably, with human-interpretable feature communication protocol, robots trained with the MAPPO-BDP framework can seamlessly collaborate with robots from the LLM BDP framework to complete tasks, even without co-training, demonstrating the practical applicability of the proposed communication protocol in new scenarios.</t>
  </si>
  <si>
    <t>P-IEEE-028</t>
  </si>
  <si>
    <t>AutoForma: A Large Language Model-Based Multi-Agent for Computer-Automated Design</t>
  </si>
  <si>
    <t>J. Liao; J. Xu; S. He; Z. Chen; S. Yu; Y. Li</t>
  </si>
  <si>
    <t>10.1109/SMC54092.2024.10831565</t>
  </si>
  <si>
    <t>https://ieeexplore.ieee.org/stamp/stamp.jsp?arnumber=10831565</t>
  </si>
  <si>
    <t>With the proliferation of artificial intelligence, Computer-Aided Design (CAD) is being transformed into Computer-Automated Design (CAutoD). In this paper, the advent of Large Language Models (LLMs) introduces new opportunities for CAutoD. This study develops AutoForma, an LLM-based multi-agent system, for automatic conversion from natural language descriptions to 3D models. By harnessing the comprehension capabilities of LLMs, AutoForma streamlines the CAutoD workflow by efficiently translating design intents into precise models in CAD. Through a comprehensive set of evaluations, AutoForma is seen to offer automation performance across various design tasks, particularly in generating non-standard parts that meet specific requirements, with higher efficiency and accuracy than using just an LLM like GPT-4.</t>
  </si>
  <si>
    <t>P-IEEE-029</t>
  </si>
  <si>
    <t>Interoperability of MAS DSMLs via horizontal model transformations</t>
  </si>
  <si>
    <t>E. Bircan; M. Challenger; G. Kardas</t>
  </si>
  <si>
    <t>Não informado</t>
  </si>
  <si>
    <t>https://ieeexplore.ieee.org/stamp/stamp.jsp?arnumber=7733460</t>
  </si>
  <si>
    <t>In this paper, we present our approach which aims at improving the mechanism of constructing language semantics over the interoperability of domain-specific modeling languages (DSMLs) developed for Multi-agent Systems (MAS) and hence providing a more efficient way of extension for the executability of modeled agent systems on various underlying agent platforms. Differentiating from the existing MAS DSML studies, our proposal is based on determining entity mappings and building horizontal model transformations between the metamodels of MAS DSMLs which are in the same abstraction level. The applicability of the approach is demonstrated in the paper by constructing horizontal transformations between two full-fledged agent DSMLs, called SEA_ML and DSML4MAS. Use of these transformations has enabled SEA_ML instance models now to be executable on new agent platforms and that feature has been provided with less effort comparing with the implementation of needed transformations between SEA_ML and those new agent platforms from scratch.</t>
  </si>
  <si>
    <t>RQ1</t>
  </si>
  <si>
    <t>P-IEEE-030</t>
  </si>
  <si>
    <t>Advancing Personality Prediction: A Multi-Agent Framework with RAG for MBTI Classification</t>
  </si>
  <si>
    <t>J. Bai</t>
  </si>
  <si>
    <t>10.1109/CCNIS69465.2025.00088</t>
  </si>
  <si>
    <t>https://ieeexplore.ieee.org/stamp/stamp.jsp?arnumber=11416349</t>
  </si>
  <si>
    <t>With the development of deep learning techniques, Natural Language Processing (NLP), a vital part of artificial intelligence, garners immense interest. One of the important applications of NLP is multi-dimensional personality classification. This task aims to predict personalities from user-generated text with various applications in psychology and recommendation systems. One of the representative sub-tasks of multi-dimensional personality classification is the classification of the Myers-Briggs Type Indicator (MBTI) types. Recently, advances achieved by multi-agent systems (MAS) and Large Language Models (LLMs) have led to better performance for many NLP-related tasks. MAS with knowledge retrieval from external sources achieved remarkable performance. However, noisiness in datasets and a lack of interpretability remain as disadvantages. This study aims to solve the problems with a multi-agent system for MBTI classification by incorporating a method that uses retrieval-aggregation for generating texts. Our experiment uses Qwen3-4B and Qwen3-8B as the test subject with various types of prompts and various types of RAG retrieval to better test our hypothesis. This study can achieve an improvement of at least 9.77 % for $F 1$ scores and 14.165 % for accuracy compared to the past performance. Also, a new balanced dataset for MBTI classification with $\mathbf{1 2 8 0}$ postings evenly categorized into $\mathbf{1 6}$ types of MBTI types was introduced.</t>
  </si>
  <si>
    <t>P-IEEE-031</t>
  </si>
  <si>
    <t>An Adaptive Multi-Agent LLM-Based Clinical Decision Support System Integrating Biomedical RAG and Web Intelligence</t>
  </si>
  <si>
    <t>Ç. U. Öğdü; K. Arslanoğlu; M. Karaköse</t>
  </si>
  <si>
    <t>10.1109/ACCESS.2025.3613340</t>
  </si>
  <si>
    <t>https://ieeexplore.ieee.org/stamp/stamp.jsp?arnumber=11176078</t>
  </si>
  <si>
    <t>Increasing data complexity in clinical decision-making processes hinders physicians’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t>
  </si>
  <si>
    <t>P-IEEE-032</t>
  </si>
  <si>
    <t>LLM4MDG: Leveraging Large Language Model to Construct Microservices Dependency Graph</t>
  </si>
  <si>
    <t>J. Hu; Y. Li; Z. Xiang; L. Ma; X. Jia; Q. Huang</t>
  </si>
  <si>
    <t>10.1109/TrustCom63139.2024.00128</t>
  </si>
  <si>
    <t>https://ieeexplore.ieee.org/stamp/stamp.jsp?arnumber=10944943</t>
  </si>
  <si>
    <t>Microservices architecture has gained popularity in modern software development due to its scalability and flexibility. However, understanding the complexity of interactions and dependencies between services presents significant challenges, which complicates the identification and analysis of errors within microservice applications. To gain insights into the architecture and interdependencies of microservices applications, prior studies have developed dependency graphs to illustrate the relationships among services. However, the methods used to construct these dependency graphs are not suitable for common microservices applications and suffer from insufficient data granularity. To address these shortcomings, we introduce LLM4MDG, an in-novative framework for constructing microservices dependency graphs using an LLM-driven multi-agent system. By leveraging optimized prompt engineering and principles of knowledge graphs, LLM4MDG can effectively identify and interpret service interactions across diverse microservice ecosystems, achieving high accuracy and adaptability across various scenarios. We also present a new open-source dataset comprising 47 microservices applications, annotated by domain experts, to validate our frame-work. Evaluation results demonstrate that LLM4MDG achieves an 88.3% accuracy in identifying data dependencies in the Train Ticket project, a benchmark application with over 80 service instances. This study provides a robust solution for constructing dependency graphs and facilitating better system understanding and management.</t>
  </si>
  <si>
    <t>P-IEEE-033</t>
  </si>
  <si>
    <t>Intent-Based Infrastructure and Service Orchestration Using Agentic-AI</t>
  </si>
  <si>
    <t>D. Brodimas; A. Birbas; D. Kapolos; S. Denazis</t>
  </si>
  <si>
    <t>10.1109/OJCOMS.2025.3600706</t>
  </si>
  <si>
    <t>https://ieeexplore.ieee.org/stamp/stamp.jsp?arnumber=11131150</t>
  </si>
  <si>
    <t>This paper introduces a novel framework that integrates agentic Artificial Intelligence (AI) with Intent-Based Networks (IBN) to enable autonomous management, configuration, and optimization of mobile network services and resources. Leveraging the advanced reasoning and natural language processing capabilities of an Large Language Model (LLM), the proposed architecture translates high-level user intents into precise network actions, facilitating user-friendly and scalable network orchestration. The framework employs a distributed multi-agent system, where specialized agents collaborate to decompose user intents, provide computational infrastructure, and deploy services using industry-standard Infrastructure-as-Code (IaC) tools. By supporting natural language interactions, the system reduces operational complexity and enhances accessibility for users with varying technical expertise. Experimental evaluations demonstrate significant improvements in task completion rates, response accuracy, and operational efficiency compared to traditional manual methods, particularly for complex network management tasks. In essence, this work creates an intelligent network orchestration framework that adapts to user needs by automatically configuring network and computing resources while operating with minimal human intervention.</t>
  </si>
  <si>
    <t>RQ3; RQ4</t>
  </si>
  <si>
    <t>P-IEEE-034</t>
  </si>
  <si>
    <t>DriveAIAgent: A Multi-Agent System for Industrial Drive Commissioning and Troubleshooting</t>
  </si>
  <si>
    <t>V. Ashiwal; M. Ritter; S. Palacio; N. Schoch</t>
  </si>
  <si>
    <t>10.1109/ETFA65518.2025.11205685</t>
  </si>
  <si>
    <t>https://ieeexplore.ieee.org/stamp/stamp.jsp?arnumber=11205685</t>
  </si>
  <si>
    <t>Commissioning is a critical phase in the lifecycle of an industrial drive system, significantly affecting overall performance and reliability. It involves configuring drives and motors for specific applications—such as mixing, pumping, or operating conveyors—and often requires managing complex interdependencies. Traditionally, commissioning is performed manually by domain experts through multiple steps, requiring them to navigate various resources ranging from drive datasheets to vendor-specific tools for drive parameter adjustment. This manual process is time-consuming, and errors can cause significant delays, sometimes lasting several days. In this paper, we propose DriveAIAgent, a novel system architecture and methodology that integrates generative AI-powered multi-agent systems to automate and enhance the commissioning and troubleshooting of industrial drives. Our agentic system utilizes expert tools to interact with and respond to external environments, incorporating a human-in-the-loop approach. The evaluation shows that our system achieves 100% accuracy in identifying encoder parameters during the initial commissioning phase, as well as very high solution relevance (94.73%) and correctness (86.29%) for troubleshooting across different drive types. Overall, DriveAIAgent can streamline complex interactions and significantly reduce the time required for commissioning and troubleshooting industrial drive systems while maintaining the same level of quality as a human expert.</t>
  </si>
  <si>
    <t>P-IEEE-035</t>
  </si>
  <si>
    <t>Toward Personalizing Quantum Computing Education: An Evolutionary LLM-Powered Approach</t>
  </si>
  <si>
    <t>I. Elhaimeur; N. Chrisochoides</t>
  </si>
  <si>
    <t>10.1109/QCE65121.2025.20549</t>
  </si>
  <si>
    <t>https://ieeexplore.ieee.org/stamp/stamp.jsp?arnumber=11249936</t>
  </si>
  <si>
    <t>Quantum computing education faces significant challenges due to its complexity and the limitations of current tools. This paper introduces a novel Intelligent Teaching Assistant for quantum computing education and details its evolutionary design process. The system combines a knowledge-graph-augmented architecture with two specialized LLM agents: a Teaching Agent for dynamic interaction and a Lesson Planning Agent for lesson generation. The system is designed to adapt to individual student needs, with interactions meticulously tracked and stored in a knowledge graph. This graph represents student actions, learning resources, and their relationships, aiming to enable reasoning about effective learning pathways. We describe the implementation of the system, highlighting the challenges encountered and the solutions implemented, including a dual-agent architecture where tasks are separated, coordination through a central knowledge graph that maintains system awareness, and a user-facing tag system intended to mitigate LLM hallucination and improve user control. Preliminary results from simulated runs illustrate the system's potential to capture rich interaction data, dynamically adapt lesson plans based on student feedback, and facilitate context-aware tutoring, though systematic evaluation with human learners is required to validate these capabilities.</t>
  </si>
  <si>
    <t>P-IEEE-036</t>
  </si>
  <si>
    <t>Supporting Product Oriented Manufacturing: a Model Driven and Agent based Approach</t>
  </si>
  <si>
    <t>M. López; J. Martín; U. Gangoiti; A. Armentia; E. Estévez; M. Marcos</t>
  </si>
  <si>
    <t>10.1109/INDIN.2018.8472069</t>
  </si>
  <si>
    <t>https://ieeexplore.ieee.org/stamp/stamp.jsp?arnumber=8472069</t>
  </si>
  <si>
    <t>Product oriented manufacturing is aligned with one of the Industry 4.0 trends consisting of integrating all production systems. This implies shifting from a traditional view of manufacturing processes focused on production line in order to reduce costs, to a more flexible and customized product manufacturing. On the other hand, Multi Agent Systems (MAS) have been proved to be a suitable way to fulfill these requirements. However, a key aspect of the use of novel technologies is to offer methodologies and tools for supporting the implementation of such systems. In this sense, this paper uses Model Driven Engineering and MAS technology to propose an architecture that is able to launch and execute a manufacturing execution plan. It focuses on the information models managed by architecture agents that can be customized to particular manufacturing plants as well as on the definition of agent templates.</t>
  </si>
  <si>
    <t>P-IEEE-037</t>
  </si>
  <si>
    <t>The Agentopia Times: Understanding and Mitigating Hallucinations in Multi-Agent LLM Systems via Data Journalism Gameplay</t>
  </si>
  <si>
    <t>Y. H. Lu; S. Du; Q. Wang</t>
  </si>
  <si>
    <t>10.1109/VIS60296.2025.00037</t>
  </si>
  <si>
    <t>https://ieeexplore.ieee.org/stamp/stamp.jsp?arnumber=11298897</t>
  </si>
  <si>
    <t>Large language models (LLMs) are increasingly used to support data analysis and visualization tasks, but remain prone to hallucinations. Recent work suggests that multi-agent systems (MAS) can mitigate hallucinations by enabling internal validation and cross-verification. However, learning effective MAS coordination strategies to mitigate hallucination remains challenging, particularly for newcomers, due to the wide range of coordination strategies and the lack of interactive, hands-on learning tools. To address this, we present The Agentopia Times, an educational game that teaches hallucination mitigation through active experimentation with MAS coordination strategies. The Agentopia Times simulates a newsroom where LLM agents collaborate to create data-driven narratives, with users tasked with adjusting communication protocols to manage hallucinated content. The game features a structured mapping between MAS coordination and familiar gameplay mechanics, providing immediate feedback on hallucination outcomes. Through use cases and preliminary user feedback, we demonstrate how The Agentopia Times enables users to explore and mitigate hallucination in MAS.</t>
  </si>
  <si>
    <t>RQ2</t>
  </si>
  <si>
    <t>P-IEEE-038</t>
  </si>
  <si>
    <t>Real Time Child Abduction and Detection System</t>
  </si>
  <si>
    <t>T. S. Yashwanth; Y. S. Royal; M. Kashyap; V. R. Shreya; D. K. N</t>
  </si>
  <si>
    <t>10.1109/SITA67914.2025.11273371</t>
  </si>
  <si>
    <t>https://ieeexplore.ieee.org/stamp/stamp.jsp?arnumber=11273371</t>
  </si>
  <si>
    <t>The safety of children is a worldwide concern, and the threat of child abduction remains a frightening reality for families and communities everywhere. This paper introduces a practical solution: a real-time child abduction detection and alert system that is affordable and privacy-focused. The system relies on several smart agents, each running on a compact Raspberry Pi computer equipped with a camera. These agents use advanced algorithms to continuously watch and understand the interactions between children and adults, right as events happen. If the system detects suspicious behavior or a possible abduction attempt, it sends immediate alerts via SMS, WhatsApp, or automated phone calls using Twilio's communication service. Not only does the approach catch threats with high accuracy and minimal delays, but it also keeps user data safe by processing everything locally on the device. By combining multiple intelligent agents, the system gains a better grasp of context, improving its reliability compared to older, single-model surveillance solutions. In short, this technology gives families and communities a low-cost and easy way to monitor vulnerable children in real time and sound a fast alarm if something goes wrong.</t>
  </si>
  <si>
    <t>P-IEEE-039</t>
  </si>
  <si>
    <t>LLM Enabled Multi-Agent System for 6G Networks: Framework and Method of Dual-Loop Edge-Terminal Collaboration</t>
  </si>
  <si>
    <t>Z. Qu; W. Wang; Z. Yu; B. Sun; Y. Li; X. Zhang</t>
  </si>
  <si>
    <t>10.1109/MCOM.001.2500148</t>
  </si>
  <si>
    <t>https://ieeexplore.ieee.org/stamp/stamp.jsp?arnumber=11359108</t>
  </si>
  <si>
    <t>The ubiquitous computing resources in 6G networks provide ideal environments for the fusion of large language models (LLMs) and intelligent services through the agent framework. With auxiliary modules and planning cores, LLM-enabled agents can autonomously plan and take actions to deal with diverse environment semantics and user intentions. However, the limited resources of individual network devices significantly hinder the efficient operation of LLM-enabled agents with complex tool calls, highlighting the urgent need for efficient multi-level device collaborations. To this end, the framework and method of the LLM-enabled multi-agent system with dual-loop terminal-edge collaborations are proposed in 6G networks. Firstly, the outer loop consists of the iterative collaborations between the global agent and multiple sub-agents deployed on edge servers and terminals, where the planning capability is enhanced through task decomposition and parallel sub-task distribution. Secondly, the inner loop utilizes sub-agents with dedicated roles to circularly reason, execute, and replan the sub-task, and the parallel tool calling generation with offloading strategies is incorporated to improve efficiency. The improved task planning capability and task execution efficiency are validated through the conducted case study in 6G-supported urban safety governance. Finally, the open challenges and future directions are thoroughly analyzed in 6G networks, accelerating the advent of the 6G era.</t>
  </si>
  <si>
    <t>RQ4; RQ5; RQ6</t>
  </si>
  <si>
    <t>P-IEEE-040</t>
  </si>
  <si>
    <t>Modular Task Decomposition and Dynamic Collaboration in Multi-Agent Systems Driven by Large Language Models</t>
  </si>
  <si>
    <t>S. Pan; D. Wu</t>
  </si>
  <si>
    <t>10.1109/ISPDS67367.2025.11390999</t>
  </si>
  <si>
    <t>https://ieeexplore.ieee.org/stamp/stamp.jsp?arnumber=11390999</t>
  </si>
  <si>
    <t>This paper addresses the limitations of a single agent in task decomposition and collaboration during complex task execution, and proposes a multi-agent architecture for modular task decomposition and dynamic collaboration based on large language models. The method first converts natural language task descriptions into unified semantic representations through a large language model. On this basis, a modular decomposition mechanism is introduced to break down the overall goal into multiple hierarchical sub-tasks. Then, dynamic scheduling and routing mechanisms enable reasonable division of labor and real-time collaboration among agents, allowing the system to adjust strategies continuously according to environmental feedback, thus maintaining efficiency and stability in complex tasks. Furthermore, a constraint parsing and global consistency mechanism is designed to ensure coherent connections between sub-tasks and balanced workload, preventing performance degradation caused by redundant communication or uneven resource allocation. The experiments validate the architecture across multiple dimensions, including task success rate, decomposition efficiency, sub-task coverage, and collaboration balance. The results show that the proposed method outperforms existing approaches in both overall performance and robustness, achieving a better balance between task complexity and communication overhead. In conclusion, this study demonstrates the effectiveness and feasibility of language-driven task decomposition and dynamic collaboration in multi-agent systems, providing a systematic solution for task execution in complex environments.</t>
  </si>
  <si>
    <t>P-IEEE-041</t>
  </si>
  <si>
    <t>Transforming Software Development: A Study on the Integration of Multi-Agent Systems and Large Language Models for Automatic Code Generation</t>
  </si>
  <si>
    <t>R. Ramírez-Rueda; E. Benítez-Guerrero; C. Mezura-Godoy; E. Bárcenas</t>
  </si>
  <si>
    <t>10.1109/CONISOFT63288.2024.00013</t>
  </si>
  <si>
    <t>https://ieeexplore.ieee.org/stamp/stamp.jsp?arnumber=10795597</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</si>
  <si>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</si>
  <si>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RQ1; RQ5</t>
  </si>
  <si>
    <t>P-IEEE-042</t>
  </si>
  <si>
    <t>An Application of Agent UML to Warehouse Management Systems</t>
  </si>
  <si>
    <t>K. Taljanovic; A. Salihbegovic</t>
  </si>
  <si>
    <t>10.1109/ISSPIT.2008.4775665</t>
  </si>
  <si>
    <t>https://ieeexplore.ieee.org/stamp/stamp.jsp?arnumber=4775665</t>
  </si>
  <si>
    <t>New application areas such as application web services, eCommerce, and peer-to-peer computing call for robust software systems with open architectures and efficient use of resources available in the environment in which they operate. To build such systems, it is very important to have mechanisms for communication, negotiation, and coordination between software components. Multi-agent system technologies and methodologies offer a guidance and support in building such software systems. The agent-oriented approach to software development is still in the transition from prototyping, done by researchers in the academic communities, to the development of large-scale industrial-strength applications by software professionals. For this to succeed, methodologies are needed to systematically guide and support developers through the various stages of system development. In the recent past, more than a dozen methodologies have been proposed, offering a range of modeling concepts, techniques for analysis, and tools for support. In this paper the application of agent unified modeling language (AUML) to warehouse management systems is presented.</t>
  </si>
  <si>
    <t>P-IEEE-043</t>
  </si>
  <si>
    <t>Retrieval-Augmented LLM-Driven Multi-Agent Optimization Framework for Intelligent Manufacturing Scheduling</t>
  </si>
  <si>
    <t>X. Li; X. Zhou; J. Li; Q. Di; L. Jing; B. Fan</t>
  </si>
  <si>
    <t>10.1109/HPCC67675.2025.00214</t>
  </si>
  <si>
    <t>https://ieeexplore.ieee.org/stamp/stamp.jsp?arnumber=11207301</t>
  </si>
  <si>
    <t>Optimizing production scheduling in complex manufacturing environments is essential for improving efficiency and maximizing resource utilization. However, in some situations, traditional optimization methods and current large language models (LLMs) have limitations. We propose a Retrieval-Augmented LLM-driven Multi-Agent Optimization (RALMAO) framework to overcome these shortcomings. This novel architecture integrates Retrieval-Augmented Generation with LLM-driven multi-agent systems to incorporate domainspecific knowledge, which enables inter-agent collaboration and cross-system optimization in manufacturing ecosystems. Validation using real-world industrial datasets-including eye drop and apparel manufacturing-demonstrates the framework's superior performance compared to current enterprise solutions. Our study facilitates the practical application of LLMs in complex scheduling problems by providing actionable insights, which is conducive to improving the intelligent level of enterprises.</t>
  </si>
  <si>
    <t>P-IEEE-044</t>
  </si>
  <si>
    <t>SCGen-Agent: Automated Generation of Smart Contract Based on Multi-agent Collaboration</t>
  </si>
  <si>
    <t>Y. Ji; Y. Li; R. Li; X. Hao; D. Yu; Y. Chen</t>
  </si>
  <si>
    <t>10.1109/CyberC66434.2025.00017</t>
  </si>
  <si>
    <t>https://ieeexplore.ieee.org/stamp/stamp.jsp?arnumber=11220504</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</si>
  <si>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</si>
  <si>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P-IEEE-045</t>
  </si>
  <si>
    <t>Cross-Modal Causal Fusion and Bidirectional Reasoning for Microservice Root-Cause Analysis</t>
  </si>
  <si>
    <t>R. Guo; T. Huang</t>
  </si>
  <si>
    <t>10.1109/ICBAIE66852.2025.11326640</t>
  </si>
  <si>
    <t>https://ieeexplore.ieee.org/stamp/stamp.jsp?arnumber=11326640</t>
  </si>
  <si>
    <t>Root-cause analysis (RCA) in large-scale microservice systems is difficult because monitoring data are heterogeneous, service dependencies are complex, and environments are noisy. Existing methods often use single-modality analysis or shallow fusion, and this limits their ability to capture causal dependencies and give interpretable reasoning. This work presents DO-MARCA, a DeepSeek-orchestrated multi-agent framework that brings together metric, log, and trace data through modalityspecific neural encoders and structured agent collaboration. A cross-modal causal fusion module aligns heterogeneous signals, and a bidirectional reasoning graph in the LLM context maintains evolving hypotheses and supports interpretability. By using temporal convolutional networks, graph attention networks, and language model reasoning with dynamic orchestration, DOMARCA improves robustness, accuracy, and explainability of RCA in microservice environments.</t>
  </si>
  <si>
    <t>P-IEEE-046</t>
  </si>
  <si>
    <t>Enhancing the Interoperability between Multiagent Systems and Service-Oriented Architectures through a Model-Driven Approach</t>
  </si>
  <si>
    <t>C. Hahn; S. Jacobi; D. Raber</t>
  </si>
  <si>
    <t>10.1109/WI-IAT.2010.217</t>
  </si>
  <si>
    <t>https://ieeexplore.ieee.org/stamp/stamp.jsp?arnumber=5614763</t>
  </si>
  <si>
    <t>Service-orientation has become the leading paradigm for modern IT system design and development as service-oriented system design has great potential for improving the efficiency and quality of the IT systems. This paper presents a model-driven approach for the generic integration of service-oriented architectures (SOA) and multi-agent systems (MAS). In fact, a model transformation from SoaML - a metamodel for SOA - to PIM4AGENTS - a platform independent metamodel for MAS - is utilized for integration. The relevance of this approach is proven by applying it to a real-world industry scenario.</t>
  </si>
  <si>
    <t>P-IEEE-047</t>
  </si>
  <si>
    <t>Multi-Agent Cooperative Retrieval-Augmented Generation for Efficient Electric Power Knowledge Retrieval Quiz</t>
  </si>
  <si>
    <t>X. Huang; Y. Chen; X. Feng; H. Zhu; C. Tang</t>
  </si>
  <si>
    <t>10.1109/ICPEA67476.2025.11349299</t>
  </si>
  <si>
    <t>https://ieeexplore.ieee.org/stamp/stamp.jsp?arnumber=11349299</t>
  </si>
  <si>
    <t>In the context of electric power management, organizations often face the challenge of handling a vast amount of unstructured and complex documents. Traditional information retrieval systems struggle to provide precise, relevant answers to business-critical queries. This paper introduces a Multi-Agent Cooperative Retrieval-Augmented Generation approach, which leverages multiple LLMs to filter and assess the relevance of retrieved documents in a cooperative manner. The method enhances the performance of traditional RAG systems through collaboration between three specialized agents: the Forecaster, Evaluator, and Final-Forecaster. This framework reduces noise in the retrieved documents, ensures higher accuracy in answers, and improves the reliability of the system in electric power knowledge tasks.</t>
  </si>
  <si>
    <t>P-IEEE-048</t>
  </si>
  <si>
    <t>Multi-Agent Auditing for Smart Contracts*</t>
  </si>
  <si>
    <t>Y. Ding; J. Yu; A. Twabi; L. Zhang; T. Kondo; H. Sato</t>
  </si>
  <si>
    <t>10.1109/ISCSIC67494.2025.11352002</t>
  </si>
  <si>
    <t>https://ieeexplore.ieee.org/stamp/stamp.jsp?arnumber=11352002</t>
  </si>
  <si>
    <t>Smart contracts underpin contemporary decentralized systems, yet their immutability and perpetual execution amplify the consequences of latent defects. Despite progress in manual audits, static analysis, fuzzing, and formal verification, auditors face a widening gap between the scalability and desired assurance due to limited automation capability. Recent large language models (LLMs) with tool-use capabilities promise greater automation, but monolithic single-agent auditors struggle with coverage, robustness, and reproducibility. Motivated by addressing these issues, we propose Multi-Agent Auditing (MAA), a framework that coordinates a team of tool-grounded agents through a constrained protocol that privileges verifiable artifacts. Besides, we mechanize an LLM-assisted orchestration mechanism and a shared knowledge base to coordinate a set of agents specialized in sophisticated testing approaches to produce budget-aware and evidence-centric audit results. Furthermore, we present the experiment results showing that MAA outperforms singleLLM auditors and provide empirical insights into LLM-backend selection.</t>
  </si>
  <si>
    <t>P-IEEE-049</t>
  </si>
  <si>
    <t>Cooperative Scheduling and Hierarchical Memory Model for Multi-Agent Systems</t>
  </si>
  <si>
    <t>H. Zou; R. Li; T. Sun; F. Wang; T. Li; K. Liu</t>
  </si>
  <si>
    <t>10.1109/ISPCE-ASIA64773.2024.10756271</t>
  </si>
  <si>
    <t>https://ieeexplore.ieee.org/stamp/stamp.jsp?arnumber=10756271</t>
  </si>
  <si>
    <t>Large Language Models (LLMs) are leading a technological revolution. This gives agents based on LLMs renewed vitality, and multi-agent collaboration is showing the potential to foster new forms of intelligence. However, current multi-agent systems face two major challenges: the first is the issue of resource coordination and scheduling within multi-agent systems, and the second is the limitation of the context window in large models, which hinders the practical application of agents in long-term conversational scenarios, urgently requiring improvements in memory capabilities. To address these challenges, we propose a collaborative scheduling strategy and hierarchical memory model for LLM-based multi-agent systems inspired by operating systems. First, we design a time-sharing scheduling strategy, analogous to process scheduling in operating systems, which divides the resource usage cycle into finer-grained single-step workflows, allocating independent resource windows to different agents to reduce resource contention and conflicts. Second, we introduce a hierarchical memory model based on the multi-level cache architecture of operating systems, segmenting the agents' memory into core memory, main memory, and vague memory areas, thereby significantly improving memory retention and retrieval efficiency in LLM - based agents when handling complex tasks. Experimental results demonstrate that our proposed method achieves efficient resource allocation in multi-agent systems while significantly enhancing the memory capabilities of agents and overall system performance.</t>
  </si>
  <si>
    <t>P-IEEE-050</t>
  </si>
  <si>
    <t>iRUC: Reducing Inter-Microservice Data Communication in Data-Intensive Systems via Unified Computation</t>
  </si>
  <si>
    <t>P. Wang; R. Liu; K. Huang; X. Du</t>
  </si>
  <si>
    <t>10.1109/TSE.2026.3656819</t>
  </si>
  <si>
    <t>https://ieeexplore.ieee.org/stamp/stamp.jsp?arnumber=11360750</t>
  </si>
  <si>
    <t>In data-intensive microservice-based systems, frequent and large-scale inter-service communication poses a critical performance bottleneck, degrading throughput and escalating latency. Existing solutions exhibit notable limitations: microservice merging sacrifices loose coupling and system evolvability; resource-aware scheduling enhances communication efficiency but fails to reduce data volume; dynamic deployment reduces network distances while introducing compute-resource contention; and unnecessary data transfer elimination remains ineffective under massive data loads. Hence, to overcome these challenges, we propose iRUC, an approach for inter-service data communication Reduction via Unified Computation. In particular, we first design GraphQL+, an executable declarative language that extends GraphQL with service-interaction semantics to achieve unified, cross-language modeling of data processing and transmission across microservices. Second, we develop an LLM-based multi-agent system leveraging Claude 4.5 Sonnet and Gemini 2.5 Pro to automatically parse microservice code and synthesize corresponding GraphQL+ models. Third, we implement the unified execution engine for GraphQL+ models, including the database gateway that preserves microservice database autonomy while enabling cross-database queries. This design enables iRUC to perform the unified modeling and execution of data processing and transmission across microservices, thereby significantly reducing inter-service data transfer while maintaining microservice independence. Experimental evaluation on nine GitHub open-source microservice projects deployed on Huawei Cloud demonstrates iRUC’s effectiveness: compared with the unnecessary transfer elimination, dynamic deployment, and serverless computing approaches, iRUC improves throughput by 5.57×, 1.52×, and 1.87×, respectively, while reducing latency to 7.7%, 40.7%, and 37.4% of those approaches. These results show that iRUC achieves significant performance improvements in large-scale data processing scenarios.</t>
  </si>
  <si>
    <t>P-IEEE-051</t>
  </si>
  <si>
    <t>AI-Augmented Multi-Agent System for Scalable Release Engineering Support</t>
  </si>
  <si>
    <t>S. Dutta; A. S. Saggu; S. Sharma</t>
  </si>
  <si>
    <t>10.1109/ICCCA66364.2025.11325214</t>
  </si>
  <si>
    <t>https://ieeexplore.ieee.org/stamp/stamp.jsp?arnumber=11325214</t>
  </si>
  <si>
    <t>This paper presents a novel AI-powered conversational system designed to automate developer support queries in enterprise release engineering environments. The system leverages a multi-agent architecture, which includes Retrieval-Augmented Generation (RAG) to provide domain-specific assistance for software build, deployment, and release processes. The system integrates multiple knowledge sources, including Git repositories, Confluence documentation, and build system APIs through a unified vector database, enabling semantic search and contextual response generation. The system architecture employs FastAPI for real-time streaming responses, ChromaDB for vector similarity search, and specialized agents for different query types. Experimental evaluation demonstrates 90.6% accuracy in query resolution with sub-second response times and support for 200+ concurrent users. The system has been successfully deployed across multiple integration channels including Slack, internal web portals, and direct API access, significantly reducing manual support overhead in release engineering teams.</t>
  </si>
  <si>
    <t>P-IEEE-052</t>
  </si>
  <si>
    <t>Assessing and Enhancing the Robustness of LLM-Based Multi-Agent Systems Through Chaos Engineering</t>
  </si>
  <si>
    <t>J. Owotogbe</t>
  </si>
  <si>
    <t>10.1109/CAIN66642.2025.00039</t>
  </si>
  <si>
    <t>https://ieeexplore.ieee.org/stamp/stamp.jsp?arnumber=11030017</t>
  </si>
  <si>
    <t>This study explores the application of chaos engineering to enhance the robustness of Large Language Model-Based Multi-Agent Systems (LLM-MAS) in production-like environments under real-world conditions. LLM-MAS can potentially improve a wide range of tasks, from answering questions and generating content to automating customer support and improving decision-making processes. However, LLM-MAS in production or preproduction environments can be vulnerable to emergent errors or disruptions, such as hallucinations, agent failures, and agent communication failures. This study proposes a chaos engineering framework to proactively identify such vulnerabilities in LLM-MAS, assess and build resilience against them, and ensure reliable performance in critical applications.</t>
  </si>
  <si>
    <t>RQ2; RQ4</t>
  </si>
  <si>
    <t>P-IEEE-053</t>
  </si>
  <si>
    <t>Agent-Based Intelligent Operations and Maintenance for Artificial Intelligence Data Centers</t>
  </si>
  <si>
    <t>Y. Niu; X. Li; D. Zhang; B. Han; Y. Zhou; B. Xu</t>
  </si>
  <si>
    <t>10.1109/HPCC67675.2025.00221</t>
  </si>
  <si>
    <t>https://ieeexplore.ieee.org/stamp/stamp.jsp?arnumber=11207410</t>
  </si>
  <si>
    <t>Driven by generative AI, the limitations of traditional manual models are highlighted by the severe operational challenges faced by Artificial Intelligence Data Centers (AIDCs), such as training hangs and performance bottlenecks. To address this, an innovative multi-agent operations and maintenance (O&amp;M) framework has been designed and implemented. Within this framework, functions including intent recognition, task planning based on SOPs and model generation, tool execution incorporating log analysis and RAG, and end-to-end decision arbitration are seamlessly integrated through the modular collaboration of specialized agents (Coordinator, Planner, Tool, and Referee). Consequently, the end-to-end automation of fault diagnosis is achieved. The system's excellent performance has been validated on a benchmark dataset containing 80 injected faults, where a root cause localization accuracy of 85.16% was achieved. Furthermore, the core roles of the Standard Operating Procedure (SOP) knowledge base and the Referee agent in ensuring diagnostic efficacy and precision have also been confirmed through ablation studies. Ultimately, a validated technical path for building an efficient and intelligent O&amp;M system for AIDCs is proposed, holding significant value for enhancing the stability and utilization of AI computing infrastructure.</t>
  </si>
  <si>
    <t>P-IEEE-054</t>
  </si>
  <si>
    <t>Can LLMs Understand Social Norms in Autonomous Driving Games?</t>
  </si>
  <si>
    <t>B. Wang; H. Duan; Y. Feng; X. Chen; Y. Fu; Z. Mo; X. Di</t>
  </si>
  <si>
    <t>10.1109/IAVVC63304.2024.10786452</t>
  </si>
  <si>
    <t>https://ieeexplore.ieee.org/stamp/stamp.jsp?arnumber=10786452</t>
  </si>
  <si>
    <t>Social norm is defined as a shared standard of acceptable behavior in a society. The emergence of social norms fosters coordination among agents without any hard-coded rules, which is crucial for the large-scale deployment of autonomous vehicles (AVs) in an intelligent transportation system. This paper explores the application of large language models (LLMs) in understanding and modeling social norms in autonomous driving games. We introduce LLMs into autonomous driving games as intelligent agents who make decisions according to text prompts. These agents are referred to as LLM agents. Our framework involves LLM agents playing Markov games in a multi-agent system (MAS), allowing us to investigate the emergence of social norms among individual agents. We aim to identify social norms by designing prompts and utilizing LLMs on textual information related to the environment setup and the observations of LLM agents. Using the OpenAI Chat API powered by GPT-4.0, we conduct experiments to simulate interactions and evaluate the performance of LLM agents in two driving scenarios: unsignalized intersection and highway platoon. The results show that LLM agents can handle dynamically changing environments in Markov games, and social norms evolve among LLM agents in both scenarios. In the intersection game, LLM agents tend to adopt a conservative driving policy when facing a potential car crash. The advantage of LLM agents in games lies in their strong operability and analyzability, facilitating experimental design.</t>
  </si>
  <si>
    <t>P-IEEE-055</t>
  </si>
  <si>
    <t>Real-World Deployment of an LLM-Enabled Voice-Commanded UGV for Logistics in SAR Missions</t>
  </si>
  <si>
    <t>A. Jarabo-Peñas; J. Bravo-Arrabal; D. -H. Lin-Yang; F. Pastor; R. Ladig; J. J. Fernández-Lozano; A. Lyhne Christensen; A. García-Cerezo</t>
  </si>
  <si>
    <t>10.1109/SSRR68451.2025.11391314</t>
  </si>
  <si>
    <t>https://ieeexplore.ieee.org/stamp/stamp.jsp?arnumber=11391314</t>
  </si>
  <si>
    <t>This paper presents a robotics framework to support emergency entities, integrating a large language model-based multi-agent system (LLM-MAS) to manage the movements of uncrewed ground vehicles (UGVs) in search and rescue (SAR) operations. The system allows operators without robotics expertise to issue natural language voice commands to autonomous UGVs, ensuring their safe and context-aware navigation based on real-time mission data. The proposed ROS 2-based communication architecture integrates UGVs into existing SAR command hierarchies, featuring robust methods for message acknowledgment, prioritization, and operational window synchronization that enable effective coordination between human teams and autonomous robots. During the XIX Workshop on Security, Emergencies, and Catastrophes (Málaga, Spain), over 150 first responders participated in six parallel SAR missions, with some teams providing their real-time positional data via equipment-integrated sensors. The LLM-MAS used this data to make autonomous decisions on the ground, such as determining which SAR team the UGV should assist, and then sent the selected target location to an external path planner through a tool call. The planner generated a route to the target, which the UGV followed while its movements were monitored in real time through a web interface. The system successfully executed material transport tasks across three critical service routes that supported the six parallel missions. Direct feedback from first responders confirmed that our system improved mission efficiency and was praised for its intuitive, responsive performance in coordinated decision-making.</t>
  </si>
  <si>
    <t>P-IEEE-056</t>
  </si>
  <si>
    <t>Designing a Distributed LLM-Based Search Engine as a Foundation for Agent Discovery</t>
  </si>
  <si>
    <t>P. Nilofary; M. Feghhi; M. Analoui</t>
  </si>
  <si>
    <t>10.1109/CSICC65765.2025.10967406</t>
  </si>
  <si>
    <t>https://ieeexplore.ieee.org/stamp/stamp.jsp?arnumber=10967406</t>
  </si>
  <si>
    <t>This paper explores the potential of decentralized AI-powered Search Engine agents for managing tasks across vari-ous domains. By simulating real-world scenarios, we demonstrate how these agents collaborate within a distributed framework to perform complex tasks efficiently. Central to this system is an AI-powered Search Engine that facilitates seamless matchmaking between agents, allowing them to share expertise and resources. This search engine leverages the power and capabilities of large language models (LLMs), enhancing agent discovery and interaction. The study highlights the multi-level functionality of agents, ranging from basic API interactions to advanced decision-making capabilities. The communication protocols implemented enable smooth agent collaboration and task completion. This work sets the foundation for future advancements in decentralized agent networks, contributing to the development of more sophisticated, equitable, and secure digital ecosystems.</t>
  </si>
  <si>
    <t>P-IEEE-057</t>
  </si>
  <si>
    <t>A Multi-Agent System for Cybersecurity Threat Detection and Correlation Using Large Language Models</t>
  </si>
  <si>
    <t>Y. Hmimou; M. Tabaa; A. Khiat; Z. Hidila</t>
  </si>
  <si>
    <t>10.1109/ACCESS.2025.3602681</t>
  </si>
  <si>
    <t>https://ieeexplore.ieee.org/stamp/stamp.jsp?arnumber=11141466</t>
  </si>
  <si>
    <t>As cyber-attacks rapidly evolve across communication, infrastructure and data layers, traditional security solutions such as rule-based intrusion detection systems (IDS) or signature-based antivirus programs are effective at detecting known threats, but they often lack the contextual understanding and semantic interpretation necessary to detect complex or evolving attacks. For example, spear-phishing campaigns, advanced persistent threats (APTs), and multi-stage attacks often escape detection due to their subtle and context-dependent nature. This limitation creates a critical gap in detecting coordinated or subtle attack patterns that span multiple systems and domains. The need for semantic understanding, cross-domain visibility, and adaptive detection is increasingly urgent, particularly as threat actors employ polymorphic and AI-driven strategies that traditional systems cannot interpret or correlate effectively. This paper presents a modular multi-agent architecture that integrates established cybersecurity analysis tools with large language models (LLMs) to achieve intelligent, explicable and highly accurate detection of threats across diverse data types. Three specialized agents: 1) email verification, 2) log analysis, and 3) IP address scanning each operate independently with tailored detection pipelines that combine domain-specific tools and LLM-powered semantic analysis components to identify, characterize, and report threats specific to their domain. At the core of the system lies a contextual recommendation system that processes and cross-analyzes the outputs of all specialized agents to detect complex threat patterns such as multi-vector, time-based, or stealth attacks that would otherwise evade isolated detection mechanisms. The evaluation on benchmark datasets, including CIC-IDS 2017, SpamAssassin, and custom simulated network environments, demonstrates threat detection accuracy of 93.6%, multi-agent correlation accuracy of 87%, and false positive reduction of 41.3% compared to traditional approaches. The use of LLMs for both structured explanations and chain-of-thought reporting further enhances analyst confidence and reduces triage time.</t>
  </si>
  <si>
    <t>P-IEEE-058</t>
  </si>
  <si>
    <t>Multi-Agent Collaborative Reasoning via Cloud-Edge Framework</t>
  </si>
  <si>
    <t>J. Zeng; J. Liao; S. Sun; G. Zhang; C. Xu; H. Liu; Y. Li</t>
  </si>
  <si>
    <t>10.1109/MNET.2026.3651036</t>
  </si>
  <si>
    <t>https://ieeexplore.ieee.org/stamp/stamp.jsp?arnumber=11353235</t>
  </si>
  <si>
    <t>Large Language Model (LLM)-based agents have significantly advanced the reasoning and problem-solving capabilities of intelligent systems. As tasks grow more complex, there is an increasing need to shift from single-agent framework to Multi-Agent Systems (MAS) for enhanced collaborative performance. Achieving better performance typically requires deploying large-scale LLMs, however, it poses significant challenges on resource-constrained edge devices. In addition, most MAS adopt a fully connected communication topology and require multiple rounds of interaction, resulting in considerable communication redundancy and increased computational overhead. To address the issues, in this paper, we propose a Directed Acyclic Graph-based Multi-Agent System (DAG-MAS) via cloud-edge framework for collaborative reasoning. Specifically, considering the limited resources on the edge, we utilize a 72B-LLM in the cloud finetunes a lightweight Small Language Model (SLM) for edge deployment. To generate a one round interaction graph, the SLM is further employed to analyze task requirements and determine optimal communication topology, minimizing overhead while enabling effective information exchange. Extensive experiments and analyses on four reasoning datasets demonstrate the superiority of our approach compared to several benchmark methods, validating the effectiveness in achieving higher reasoning performance with lower communication costs.</t>
  </si>
  <si>
    <t>P-IEEE-059</t>
  </si>
  <si>
    <t>FedLMA: A Federated Learning Framework Integrating LLM-Based Multi-Agent Reasoning With Knowledge Distillation</t>
  </si>
  <si>
    <t>J. Wang; Y. Wu; X. Xiong; Y. Zhang; Z. Lyu; A. Ghoneim; H. Zhao</t>
  </si>
  <si>
    <t>10.1109/TCE.2025.3608003</t>
  </si>
  <si>
    <t>https://ieeexplore.ieee.org/stamp/stamp.jsp?arnumber=11154048</t>
  </si>
  <si>
    <t>Internet of Medical Things (IoMT) applications encounter issues with data distribution bias, privacy and security concerns, and resource constraints, especially in consumer-centric scenarios. Federated Learning (FL) has emerged as a distributed, privacy-preserving paradigm that enables multiple decentralized clients to collaboratively train a shared model using only their own local data. However, conventional FL methods often suffer from client drift induced by non-IID data across participants, resulting in slower convergence and degraded overall performance. To address these challenges, we propose FedLMA, a fully decentralized framework that combines local knowledge distillation with an LLM-driven multi-agent reasoning mechanism over a blockchain-enabled knowledge-sharing layer. Specifically, FedLMA first extracts and regularizes soft labels from each client’s local model to generate robust distilled knowledge. Then, a large language model driven multi-agent system evaluates class-wise learning difficulty and knowledge retention to form a personalized demand vector, which is used to adaptively filter and weight relevant knowledge fragments. Finally, the selected knowledge guides student model updates via a hybrid cross-entropy and KL-divergence loss. Comprehensive experiments on heterogeneous benchmarks demonstrate that FedLMA significantly outperforms state-of-the-art personalized FL methods in both accuracy and convergence speed under highly non-IID data distributions, effectively mitigating client drift and enhancing overall model performance in decentralized, heterogeneous environments.</t>
  </si>
  <si>
    <t>P-IEEE-060</t>
  </si>
  <si>
    <t>MVP-MCTS: Language Modelling a Flexible Multi-Agent Planning Framework</t>
  </si>
  <si>
    <t>Z. Li; J. Ji</t>
  </si>
  <si>
    <t>10.1109/AIIM64537.2024.10934217</t>
  </si>
  <si>
    <t>https://ieeexplore.ieee.org/stamp/stamp.jsp?arnumber=10934217</t>
  </si>
  <si>
    <t>Large language models have come under the spotlight in recent years for their seemingly multifaceted capabilities which extend far beyond text processing. In particular, they have been shown to possess logical and reasoning capabilities, which has been augmented in various ways via the use of inference frameworks such as reasoning trees and planning graphs. Meanwhile, some studies tried to explore tasks that are not limited to single-agent scenarios, focusing on tasks in multi-agent settings. However, most of their works focus on text-based role-playing games, while long-term planning games have yet to be extensively explored. In this work we extend the reasoning and planning abilities of the language model to coordinate between multiple agents which have been tasked to achieve specific goals with the least amount of resource expenditure. We devise the framework MVP-MCTS: Multi-agent Value-coordination and Prompt-based Monte-Carlo Tree Search(MCTS) that integrates the prompting of a language model with a tree search procedure without the need for additional grounding. Our method relies on task-specific prompting and the innate world model of the LLM to perform search space simulation and decision-making. Our experiments show that our framework is able to outperform current state-of-the-art LLMdriven planning frameworks.</t>
  </si>
  <si>
    <t>P-IEEE-061</t>
  </si>
  <si>
    <t>An Interpretable Multi Agent Architecture for Automated Legal Risk Assessment</t>
  </si>
  <si>
    <t>K. S; V. P; R. N. R; D. D. B</t>
  </si>
  <si>
    <t>10.1109/ICIDCA66325.2025.11280370</t>
  </si>
  <si>
    <t>https://ieeexplore.ieee.org/stamp/stamp.jsp?arnumber=11280370</t>
  </si>
  <si>
    <t>A multi agent retrieval augmented framework has been proposed to enhance the analysis of legal contract clauses through structured reasoning and improved interpretability. In this approach, specialized agents were employed for the retrieval of statutory provisions, judicial precedents, and clause comparison, ensuring that contract analysis was grounded in authentic legal sources. The system was designed in layered architecture where tasks such as input processing, law retrieval, case retrieval, comparison, and advisory generation were distributed among independent agents. By decentralizing responsibilities, transparency and auditability were improved, and hallucinations that frequently occur in single pipeline systems were reduced. Contract clauses were processed by mapping them to relevant statutes and precedents, followed by risk evaluation and recommendation of enforceability modifications. Experimental evaluation was conducted using statutory corpora and case law datasets, where the framework demonstrated higher accuracy, interpretability, and reliability compared to conventional retrieval augmented generation models. Slight trade-offs in latency were observed, but they were offset by significant gains in legal trustworthiness and explainability. The proposed multi agent system was shown to provide a scalable and modular architecture, allowing new agents to be integrated seamlessly, thereby establishing a robust foundation for automated, explainable, and trustworthy legal advisory systems.</t>
  </si>
  <si>
    <t>P-IEEE-062</t>
  </si>
  <si>
    <t>Engineering LLM Powered Multi-Agent Framework for Autonomous CloudOps</t>
  </si>
  <si>
    <t>K. Parthasarathy; K. Vaidhyanathan; R. Dhar; V. Krishnamachari; A. Kakran; S. Akshathala; S. Arun; A. Karan; B. Muhammed; S. Dubey; M. Veerubhotla</t>
  </si>
  <si>
    <t>10.1109/CAIN66642.2025.00031</t>
  </si>
  <si>
    <t>https://ieeexplore.ieee.org/stamp/stamp.jsp?arnumber=11030040</t>
  </si>
  <si>
    <t>Cloud Operations (CloudOps) is a rapidly growing field focused on the automated management and optimization of cloud infrastructure which is essential for organizations nav-igating increasingly complex cloud environments. MontyCloud Inc. is one of the major companies in the CloudOps domain that leverages autonomous bots to manage cloud compliance, security, and continuous operations. To make the platform more accessible and effective to the customers, we leveraged the use of GenAl. Developing a GenAl-based solution for autonomous CloudOps for the existing MontyCloud system presented us with various challenges such as i) diverse data sources; ii) orchestration of multiple processes and iii) handling complex workflows to automate routine tasks. To this end, we developed MOYA, a multi-agent framework that leverages GenAI and balances autonomy with the necessary human control. This framework integrates various internal and external systems and is optimized for factors like task orchestration, security, and error mitigation while producing accurate, reliable, and relevant insights by utilizing Retrieval Augmented Generation (RAG). Evaluations of our multi-agent system with the help of practitioners as well as using automated checks demonstrate enhanced accuracy, responsiveness, and effectiveness over non-agentic approaches across complex workflows.</t>
  </si>
  <si>
    <t>P-IEEE-063</t>
  </si>
  <si>
    <t>Security of LLM Agents: A Case Study Approach</t>
  </si>
  <si>
    <t>C. Fan; D. Tial; V. Dubrovenski; M. Zhang; Y. Lee; D. Xu</t>
  </si>
  <si>
    <t>10.1109/Trustcom66490.2025.00226</t>
  </si>
  <si>
    <t>https://ieeexplore.ieee.org/stamp/stamp.jsp?arnumber=11354710</t>
  </si>
  <si>
    <t>As large language models (LLMs) evolve into autonomous agents equipped with tools and communication capabilities, they are increasingly deployed in multi-agent systems (MASs) to perform complex tasks. While these systems offer new levels of functionality and efficiency, their security risks remain underexplored. In this paper, we present a focused security analysis of LLM agents by implementing six representative attacks on two real-world MASs. These attacks expose structural and behavioral vulnerabilities unique to agent-based systems. We also introduce and evaluate defensive mechanisms such as fine-tuned agent behaviors, access control via the NGAC (Next Generation Access Control) standard, and a novel "sanity checker" agent for validating agent outputs. Our findings highlight the urgent need for robust, standardized security frameworks for LLM-based MASs and suggest promising directions for future research in agent-level threat modeling and mitigation.</t>
  </si>
  <si>
    <t>RQ2; RQ3; RQ5; RQ6</t>
  </si>
  <si>
    <t>P-IEEE-064</t>
  </si>
  <si>
    <t>Automating Environmental Impact Assessments: An Agentic AI Framework for Comprehensive Report Generation</t>
  </si>
  <si>
    <t>S. K. Nanda; D. P. Tripathy; N. K. Ray</t>
  </si>
  <si>
    <t>10.1109/OCIT66168.2025.11400090</t>
  </si>
  <si>
    <t>https://ieeexplore.ieee.org/stamp/stamp.jsp?arnumber=11400090</t>
  </si>
  <si>
    <t>Environmental Impact Assessment (EIA) is a critical process for evaluating the potential effects of development projects on the environment. Traditional EIA methods are often time-consuming and data-intensive. However, the manual generation of EIA reports is a time-consuming, data-intensive, and often subjective process. This paper introduces a novel agentic AI framework that leverages Microsoft Azure AI Foundry and Semantic Kernel to automate and enhance the generation of comprehensive EIA reports. Our framework employs a multi-agent system where specialized agents, orchestrated through a Multi-Agent Collaboration Protocol (MCP), work in concert to gather data, perform analysis, and synthesize findings. Communication between agents is facilitated by a robust Agent-to-Agent (A2A) protocol, ensuring seamless information exchange. To validate the efficacy of our approach, we present a rigorous agentic evaluation using state-of-the-art “LLM as a Judge” frameworks, including Prometheus and Langsmith, demonstrating the system's accuracy, coherence, and alignment with regulatory standards.</t>
  </si>
  <si>
    <t>P-IEEE-065</t>
  </si>
  <si>
    <t>Semantic Kernel for Software Engineering: A Multi-Agent Framework for Autonomous Development Lifecycles</t>
  </si>
  <si>
    <t>A. B. V; R. Kumar.J.S.; N. V. Babu</t>
  </si>
  <si>
    <t>10.1109/ICECA66444.2025.11383462</t>
  </si>
  <si>
    <t>https://ieeexplore.ieee.org/stamp/stamp.jsp?arnumber=11383462</t>
  </si>
  <si>
    <t>Software engineering automation remains constrained, with existing AI tools typically focusing on isolated tasks such as code generation, while still relying heavily on human intervention for integration, testing, and deployment. This paper presents a multi-agent system that will autonomously manage the whole software development process-including natural language requirements to deployed systems. The system leverages a Semantic Kernel for dynamic task decomposition and orchestrates specialized, role-specific agents for code generation, testing, debugging, and deployment. A vector-based knowledge retention engine allows for ongoing learning and reuse of solutions across projects. This will ensure high-quality code and consistent architecture. The framework works with professional tools like Docker and GitHub Actions. It supports results that are ready for production. In experimental tests, the end-to-end task success rate reached 65 percent. The average development time dropped to 35 minutes. There was also a decrease in human intervention compared to baseline systems like ChatDev and GPT-4, which relied on manual tools. This work creates a new approach in autonomous software engineering. It uses coordinated multi-agent systems that can handle complex projects with minimal human involvement.</t>
  </si>
  <si>
    <t>P-IEEE-066</t>
  </si>
  <si>
    <t>Coordinating Search with Foundation Models and Multi-Agent Reinforcement Learning in Complex Environments</t>
  </si>
  <si>
    <t>C. Allred; J. Haight; C. Justice; I. Peterson; R. Scalise; T. Hromadka; J. Pusey; M. Harper</t>
  </si>
  <si>
    <t>10.1109/IRC63610.2024.00046</t>
  </si>
  <si>
    <t>https://ieeexplore.ieee.org/stamp/stamp.jsp?arnumber=10818085</t>
  </si>
  <si>
    <t>We present a multi-agent system simulation designed for efficient coordination and collaboration among multiple robots, particularly suited for search operations. This simulation reflects unstructured and complex outdoor scenarios where significant obstruction and occluded terrain surfaces cause difficulties in search. The software integrates well with reinforcement learning (RL) and a centralized Multi-Agent Transformer (MAT) to enable autonomous robots to collect, process, and integrate data. Search, coverage, and complex mobility planning can be tested in this simulation with dynamic and unstructured environments. The project code and videos can be found at https://github.com/DIRECTLab/Coordinating-MAT-Env</t>
  </si>
  <si>
    <t>P-IEEE-067</t>
  </si>
  <si>
    <t>Enhancing Stock Price Forecasting with a Multi-Agent System and Time Series Analysis</t>
  </si>
  <si>
    <t>A. Mashaly; A. Hereiz; M. Ayman; K. ElHady; O. Allam; S. M. Ayyad</t>
  </si>
  <si>
    <t>10.1109/ITC-Egypt66095.2025.11186558</t>
  </si>
  <si>
    <t>https://ieeexplore.ieee.org/stamp/stamp.jsp?arnumber=11186558</t>
  </si>
  <si>
    <t>Stock price forecasting remains a highly challenging task due to the dynamic and volatile nature of financial markets. Stock prices are influenced by a multitude of external factors such as global events, economic policies, and public sentiment. Traditional time-series models often fall short in capturing these complex dependencies as they primarily rely on historical price data. In this study, we propose a novel framework that integrates a multi-agent system powered by Large Language Models (LLMs) with traditional time-series forecasting models such as SARIMAX, LSTM, and a Time-MOE transformer-based architecture. The LLM-based agents are responsible for analyzing financial news and market data, rating content across key factors like financial stability, marketing strategies, and risk indicators. These insights are then combined with price history to provide a more context-aware prediction model. Experiments conducted on stock data from major technology companies show a significant reduction in Mean Absolute Error (MAE) compared to baseline models, demonstrating the effectiveness of our approach. The results emphasize the potential of combining agent-based sentiment evaluation with traditional models to improve forecasting accuracy in a scalable and cost-effective manner</t>
  </si>
  <si>
    <t>P-IEEE-068</t>
  </si>
  <si>
    <t>An Object-Process-Based Modeling Language for Multiagent Systems</t>
  </si>
  <si>
    <t>A. Sturm; D. Dori; O. Shehory</t>
  </si>
  <si>
    <t>10.1109/TSMCC.2009.2037133</t>
  </si>
  <si>
    <t>https://ieeexplore.ieee.org/stamp/stamp.jsp?arnumber=5398876</t>
  </si>
  <si>
    <t>While a number of modeling languages for constructing multiagent systems (MASs) have been suggested, none of them is widely accepted and used. A prominent reason for this is the gap that exists between agent-oriented modeling languages and the agent-based system modeling needs, including accessibility, flexibility, and expressiveness. This paper addresses the need for such a language by proposing object-process methodology (OPM)/MAS, an agent modeling language (AML) that extends OPM with an intermediate metamodel of the MAS domain. Three case studies and a comparison to contemporary AMLs demonstrate the novelty and benefits of OPM/MAS.</t>
  </si>
  <si>
    <t>Não identificado</t>
  </si>
  <si>
    <t>P-IEEE-069</t>
  </si>
  <si>
    <t>On the design of agent-based systems using UML and extensions</t>
  </si>
  <si>
    <t>M. Dinsoreanu; I. Salomie; K. Pusztai</t>
  </si>
  <si>
    <t>10.1109/ITI.2002.1024675</t>
  </si>
  <si>
    <t>https://ieeexplore.ieee.org/stamp/stamp.jsp?arnumber=1024675</t>
  </si>
  <si>
    <t>The Unified Software Development Process (USDP) and Unified Modeling Language (UML) have been now generally accepted as the standard methodology and modeling language for developing object-oriented systems. Although agent-based systems introduce new issues, we consider that USDP and UML can be used in an extended manner for modeling agent-based systems. We present a methodology for designing agent-based systems and the specific models expressed in the UML-based notation corresponding to each phase of the software development process. UML was extended using the provided mechanism: stereotypes. Therefore, this approach can be managed with any CASE tool supporting UML. A case study, the development of a specific agent-based student assessment system (SAS), is presented.</t>
  </si>
  <si>
    <t>P-IEEE-070</t>
  </si>
  <si>
    <t>AGENT-DRIVEN LARGE LANGUAGE MODELS FOR MANDARIN LYRIC GENERATION</t>
  </si>
  <si>
    <t>H. -H. Liu; Y. -W. Liu</t>
  </si>
  <si>
    <t>10.1109/O-COCOSDA64382.2024.10800588</t>
  </si>
  <si>
    <t>https://ieeexplore.ieee.org/stamp/stamp.jsp?arnumber=10800588</t>
  </si>
  <si>
    <t>Generative Large Language Models have shown impressive in-context learning abilities, performing well across various tasks with just a prompt. Previous melody-to-lyric research has been limited by scarce high-quality aligned data and un-clear standard for creativeness. Most efforts focused on gen-eral themes or emotions, which are less valuable given cur-rent language model capabilities. In tonal contour languages like Mandarin, pitch contours are influenced by both melody and tone, leading to variations in lyric-melody fit. Our study, validated by the Mpop600 dataset, confirms that lyricists and melody writers consider this fit during their composition pro-cess. In this research, we developed a multi-agent system that decomposes the melody-to-lyric task into sub-tasks, with each agent controlling rhyme, syllable count, lyric-melody align-ment, and consistency. Listening tests were conducted via a diffusion-based singing voice synthesizer to evaluate the qual-ity of lyrics generated by different agent groups.</t>
  </si>
  <si>
    <t>P-IEEE-071</t>
  </si>
  <si>
    <t>The Power of Small LLMs: A Multi-Agent for Code Generation via Dynamic Precaution Tuning</t>
  </si>
  <si>
    <t>J. Zhang; J. Liao; J. Tang; X. Zhao</t>
  </si>
  <si>
    <t>10.1109/TSE.2025.3632508</t>
  </si>
  <si>
    <t>https://ieeexplore.ieee.org/stamp/stamp.jsp?arnumber=11244878</t>
  </si>
  <si>
    <t>The emergence of large language models (LLMs) has greatly advanced automated code generation, with multi-agent systems comprising multiple LLMs gaining attention for their collaborative potential. However, most multi-agent systems still rely on large LLMs, leading to high computational costs and data privacy risks. Small LLMs provide a resource-efficient and privacy-preserving alternative; however, directly replacing them in conventional multi-agent frameworks leads to considerable performance degradation. This paper initially identifies two fundamental challenges in achieving effective collaboration among small LLMs: the difficulty in accurately interpreting complex role prompts and the fragility of inter-agent coordination. To overcome these, we propose MASDP, a multi-agent system for code generation with dynamic precaution tuning, inspired by the whistleblowing mechanism. MASDP introduces a fine-tuned Reminder agent that proactively anticipates potential errors, shifts the burden of code optimization from the Programmer to itself, and iteratively refines precautions based on execution feedback—thereby enhancing cooperation and reliability. Extensive experiments show that MASDP, built entirely on small LLMs, outperforms state-of-the-art baselines, including GPT-4, while substantially reducing computational overhead and safeguarding data privacy.</t>
  </si>
  <si>
    <t>RQ1; RQ2; RQ5</t>
  </si>
  <si>
    <t>P-IEEE-072</t>
  </si>
  <si>
    <t>A Multi-Agent Architecture for Governance and Security of LLM-Based Knowledge Access</t>
  </si>
  <si>
    <t>V. A. Aguiar; L. A. Amorim; A. M. A. Novais; T. P. de Jesus; A. da Silva Soares; S. S. T. de Oliveira</t>
  </si>
  <si>
    <t>10.1109/BigData66926.2025.11401633</t>
  </si>
  <si>
    <t>https://ieeexplore.ieee.org/stamp/stamp.jsp?arnumber=11401633</t>
  </si>
  <si>
    <t>In large-scale data ecosystems, ensuring secure and compliant access to distributed information remains a major challenge, especially when Large Language Models (LLMs) and autonomous agents interact with enterprise knowledge. This paper proposes a Multi-Agent System for Data Access Governance (MSDA) designed for Big Data environments that require transparency, scalability, and policy enforcement. The architecture integrates a Router Agent for request classification and routing, Domain Agents (Legal, Regulation, R&amp;D, Sustainability, Investors) for context validation, and a Governance/Security Agent that enforces access control using declarative policies (e.g., Open Policy Agent). All actions are recorded through an Audit Log for full traceability and compliance. Experimental evaluation on synthetic and real-world enterprise prompts demonstrates that the architecture can effectively block unauthorized queries, maintain auditability with low latency overhead, and scale across distributed Big Data environments. This work bridges multiagent governance and data security in LLM-based systems, offering a replicable framework for trustworthy autonomous AI in regulated industries.</t>
  </si>
  <si>
    <t>P-IEEE-073</t>
  </si>
  <si>
    <t>SAMAG: Structure-Aware Multi-Agent Graph Generation with Large Language Models</t>
  </si>
  <si>
    <t>J. Cen; J. Ji; Z. Wang; Z. Wei; Y. Li; B. Ding</t>
  </si>
  <si>
    <t>10.1109/BigData66926.2025.11402080</t>
  </si>
  <si>
    <t>https://ieeexplore.ieee.org/stamp/stamp.jsp?arnumber=11402080</t>
  </si>
  <si>
    <t>Graph generation is fundamental in network science and graph machine learning, yet existing rule-based and deep learning models either miss fine-grained structures or remain static and data-hungry, while recent LLM-based multi-agent methods suffer from structural myopia by ignoring graph topology. We propose a Structure-Aware Multi-Agent-based Graph generation framework (SAMAG), which integrates structureaware information retrieval and agent orchestration to combine semantic and topological context, enabling agents to form realistic communities and yield temporally coherent interaction patterns. Experiments across various domains demonstrate that SAMAG consistently achieves state-of-the-art graph-level fidelity and outperforms previous LLM-based methods in communitylevel fidelity, while in the inductive setting improves GNN node classification accuracy by $18.5\%$ on average over the bestperformed baseline. SAMAG establishes the first structure-aware LLM-based framework, advancing both the fidelity and transferability of synthesized graphs. Code for SAMAG is available at https://github.com/JasonCen-sweetdreams/SAMAG.</t>
  </si>
  <si>
    <t>P-IEEE-074</t>
  </si>
  <si>
    <t>Generative AI Multi-Agent System with Retrieval Augmented Generation for Real-Time Furnace Operation Support in Industrial Manufacturing</t>
  </si>
  <si>
    <t>I. Provatidis; V. Cobilean; K. Sandström; M. Behnam</t>
  </si>
  <si>
    <t>10.1109/IECON58223.2025.11221518</t>
  </si>
  <si>
    <t>https://ieeexplore.ieee.org/stamp/stamp.jsp?arnumber=11221518</t>
  </si>
  <si>
    <t>This paper presents a prototype AI-powered decision support system that leverages large language models (LLMs) and digital agents to assist furnace-stage operations in transformer manufacturing. The system integrates real furnace sensor data with synthetic manuals and expert insights using a modular architecture that combines Retrieval-Augmented Generation (RAG), structured prompting, multi-agent coordination, and response validation. It processes natural language queries to generate context-aware responses grounded in process data and documentation, demonstrating the potential of domain-adapted generative AI for industrial support. Experiments show a 100% improvement over a baseline LLM, though performance remains 29% below ChatGPT-4o, indicating both promise and areas for future improvement.</t>
  </si>
  <si>
    <t>P-IEEE-075</t>
  </si>
  <si>
    <t>MAS2DES-onto: Ontology for MAS-based digital ecosystems</t>
  </si>
  <si>
    <t>S. A. Kidanu; R. Chbeir; Y. Cardinale</t>
  </si>
  <si>
    <t>10.1109/CLEI.2017.8226470</t>
  </si>
  <si>
    <t>https://ieeexplore.ieee.org/stamp/stamp.jsp?arnumber=8226470</t>
  </si>
  <si>
    <t>Multi-Agent Systems (MASs) have received much attention in recent years because of their advantages on modeling complex distributed systems, such Digital Ecosystems (DESs). Many existing modeling languages that support the design of such systems are based on ontologies to assist the representation of agents knowledge. However, in the context of DESs, there is still a need for more general conceptual models to represent the specific characteristics of DESs in terms of win-win interaction, engagement, equilibrium, and self-organization. Then, concepts such behavior, roles, rules, and environment are needed. This paper describes an ontology-based approach by proposing MAS2DES-Onto, as the conceptual model, which considers the essential static and dynamic aspects of MASs by a clear representation of their concepts and relationships to support the design and development of DESs. To validate and conduct experimental tests, we integrate MAS2DES-Onto into a framework to automatically generate MAS-based DESs. Results show the efficiency and effectiveness of our approach.</t>
  </si>
  <si>
    <t>P-IEEE-076</t>
  </si>
  <si>
    <t>Building Multi-Agent Copilot towards Autonomous Agricultural Data Management and Analysis</t>
  </si>
  <si>
    <t>Y. Pan; J. Sun; H. Yu; J. Luck; G. Bai; N. Chamara; Y. Ge; T. Awada</t>
  </si>
  <si>
    <t>10.1109/BigData62323.2024.10826038</t>
  </si>
  <si>
    <t>https://ieeexplore.ieee.org/stamp/stamp.jsp?arnumber=10826038</t>
  </si>
  <si>
    <t>The ubiquity of sensors and IoT devices has led to an explosion in data availability in modern agriculture. The large volume and heterogeneity of the data, together with the complexity of data processing requirements, pose huge obstacles for achieving the principles of Findable, Accessible, Interoperable, and Reusable (FAIR). Current data management and analysis paradigms are to a large extent traditional, in which data collecting, curating, integration, loading, storing, sharing and analyzing still involve too much human effort and know-how. The experts, researchers and the farm operators need to understand the data and the whole process of data management pipeline to make full use of the data. The essential problem of the traditional paradigm is the lack of a layer of orchestrational intelligence which can understand, organize and coordinate the data processing utilities to maximize data management and analysis outcome. The emerging reasoning and tool mastering abilities of large language models (LLM) make it a potentially good fit to this position, which helps a shift from the traditional user-driven paradigm to AI-driven paradigm. In this paper, we propose and explore the idea of a LLM based copilot for autonomous agricultural data management and analysis. Based on our previously developed platform of Agricultural Data Management and Analytics (ADMA), we build a proof-of-concept multi-agent system called ADMA Copilot, which can understand user’s intent, makes plans for data processing pipeline and accomplishes tasks automatically, in which three agents: a LLM based controller, an input formatter and an output formatter collaborate together. Different from existing LLM based solutions, by defining a meta-program graph, our work decouples control flow and data flow to enhance the predictability of the behavior of the agents. Experiments demonstrate the intelligence, autonomy, efficacy, efficiency, extensibility, flexibility and privacy of our system. Comparison is also made between ours and existing systems to show the superiority and potential of our system.</t>
  </si>
  <si>
    <t>P-IEEE-077</t>
  </si>
  <si>
    <t>Agents4PLC: Automating Closed-loop PLC Code Generation and Verification in Industrial Control Systems using LLM-based Agents</t>
  </si>
  <si>
    <t>Z. Liu; R. Zeng; D. Wang; G. Peng; X. Liu; Q. Liu; P. Liu; W. Wang; J. Wang</t>
  </si>
  <si>
    <t>10.1109/TSE.2026.3667895</t>
  </si>
  <si>
    <t>https://ieeexplore.ieee.org/stamp/stamp.jsp?arnumber=11410524</t>
  </si>
  <si>
    <t>In industrial control systems, the generation and verification of Programmable Logic Controller (PLC) code are crucial for ensuring operational efficiency and safety. While Large Language Models (LLMs) have made strides in automated code generation, they fall short in providing correctness guarantees and specialized support for PLC programming (which has its own programming language and clear logical structures). To address these challenges, this paper introduces Agents4PLC, a novel framework that not only automates PLC code generation but also introduces code-level verification and repair built upon an LLM-based multi-agent system, which together is capable of directly producing operational PLC code without any human interaction. To comprehensively evaluate our framework, we first establish a new benchmark specially designed for the critical area of verifiable PLC code generation, which includes hundreds of natural language requirements, human-written and verified formal specifications, and finally reference PLC code. Then, we carefully designed a multi-agent workflow combining a set of expert agents responsible for different code generation tasks including planning, coding, validation and debugging towards generating correct PLC code. For each agent, we also incorporate optimization strategies such as Retrieval-Augmented Generation (RAG), advanced prompt engineering techniques, and Chain-of-Thought strategies which are shown to be effective to enhance the ability of these expert ‘agents’. Evaluation against the benchmark demonstrates that Agents4PLC significantly outperforms existing methods, achieving superior results across a series of increasingly rigorous evaluation metrics. This research highlights the potential of LLM agent-based code generation in real-world industrial control systems and the importance of code-level verification in generating correct code with formal guarantees.</t>
  </si>
  <si>
    <t>P-IEEE-078</t>
  </si>
  <si>
    <t>A UML Heavyweight Extension for MAS Modeling</t>
  </si>
  <si>
    <t>M. Al-Kady; R. Bahgat; A. Fahmy</t>
  </si>
  <si>
    <t>10.1109/QSIC.2008.15</t>
  </si>
  <si>
    <t>https://ieeexplore.ieee.org/stamp/stamp.jsp?arnumber=4601574</t>
  </si>
  <si>
    <t>Unified Modeling Language (UML) is the standard notation technique used for modeling object-oriented (OO) systems. Previous efforts exist to extend UML for representing multi-agent systems (MAS). Due to the UML widespread, the resulting extensions are therefore easy to use and to adopt by software engineers. Unfortunately, most of these attempts are based on applying stereotypes for the object-oriented entities. However, heavyweight extension is a more adequate choice to handle different capabilities of the MAS over the OO systems. In this work a heavyweight extension to UML metamodel is proposed for modeling MAS according to our unified MAS conceptual model. It is not limited to a specific application domain or specific agent architecture. A proposed MAS-UML tool is built based on the extended metamodel.</t>
  </si>
  <si>
    <t>P-IEEE-079</t>
  </si>
  <si>
    <t>Extending a Multi-Agent Systems Simulation Architecture for Systems-of-Systems Security Analysis</t>
  </si>
  <si>
    <t>J. El Hachem; V. Chiprianov; V. V. Graciano Neto; P. Aniorte</t>
  </si>
  <si>
    <t>10.1109/SYSOSE.2018.8428776</t>
  </si>
  <si>
    <t>https://ieeexplore.ieee.org/stamp/stamp.jsp?arnumber=8428776</t>
  </si>
  <si>
    <t>Security is an important concern for software-intensive Systems-of-Systems (SoS). Architectural analysis for SoS secturity assessment should be performed at early stages of development. Such activity could prevent vulnerabilities and avoid potential cascading attack emergent behaviors, i.e., a succession of security vulnerabilities that emerge from individual constituents security fragilities, potentially causing interruption and collapse of SoS operation. Model simulation can prevent these issues by predicting, at design-time, how SoS will behave regarding its reaction to potential attacks. As security is a quality attribute, i.e., a property that comes up from the relation between software parts, software architecture analysis and simulation are an additional support for the prediction of SoS security. However, despite recent advances in such area, few simulation approaches have tackled simulation of secure SoS architectures where the basis of the described models are the SoS behavior or the interactions among the SoS Constituent Systems (CS). The main contribution of this paper is offering a big picture of how recent advances on SoS security analysis via simulations can form a robust framework for SoS security prediction. We argue the pertinence of Multi-Agent Systems (MAS) for SoS simulation due to similarities between MAS and SoS concepts, and we report how MAS simulation enables the visualization of emergent behaviors and how they impact the SoS security. Our results to foster SoS security analysis include (i) an extension of a MAS conceptual model and platform to include security concepts, (ii) a Model-Driven Engineering (MDE) approach that adopts automatic mappings between secure SoS architecture modeled using an existing SysML-based modeling language, namely the SoSSecML, and (iii) a MAS platform to support such analysis.</t>
  </si>
  <si>
    <t>P-IEEE-080</t>
  </si>
  <si>
    <t>Using Role-Specialized LLM Agents for Workflow Execution in a Product Development Setting</t>
  </si>
  <si>
    <t>M. Kretzschmar; A. Gundermann; J. Mehlstäubl; A. P. Gómez; B. Saske; K. Paetzold-Byhain</t>
  </si>
  <si>
    <t>10.1109/ICISC65841.2025.11188152</t>
  </si>
  <si>
    <t>https://ieeexplore.ieee.org/stamp/stamp.jsp?arnumber=11188152</t>
  </si>
  <si>
    <t>Many product development tasks require multi-step reasoning and decision-making that exceed the capabilities of Large Language Models (LLMs) operating in isolation. This research introduces a framework for constructing multi-agent systems (MAS) with LLMs for product development and presents an empirical study of its effectiveness. By decomposing workflows into subtasks handled by role-specialized agents, the system leverages agentic design principles and outperforms isolated model outputs. We evaluate this approach using LLaMA-3.1 (8B) and Gemma 2.0 (9B) in a realistic engineering scenario. While enabling more complex problem solving, the MAS also introduces challenges in transparency and fault tracing across input-output chains. Our findings highlight trade-offs and the need for further research on design practices for reliable agentic AI systems in industrial settings.</t>
  </si>
  <si>
    <t>P-IEEE-081</t>
  </si>
  <si>
    <t>LLM-Driven Multi-Agent Architectures for Intelligent Self-Organizing Networks</t>
  </si>
  <si>
    <t>A. Qayyum; A. Albaseer; J. Qadir; A. Al-Fuqaha; M. Abdallah</t>
  </si>
  <si>
    <t>10.1109/MNET.2025.3605319</t>
  </si>
  <si>
    <t>https://ieeexplore.ieee.org/stamp/stamp.jsp?arnumber=11169757</t>
  </si>
  <si>
    <t>Managing the growing complexity of Self-Organizing Networks (SONs) in next-generation communication systems requires agile, real-time strategies that can adapt to multidimensional and highly dynamic conditions. Traditional SON management rooted in centralized, rule-based, and static models, struggles to meet these evolving requirements. Recent advances in multi-agent systems (MAS) and Large Language Models (LLMs) enable the design of intelligent and context-aware frameworks that span multiple operational layers. In this paper, we introduce LaMA-SON, an LLM-driven MAS for intelligent SON management. Specifically, LaMA-SON incorporates specialized agents to handle three critical operational functions: traffic management, quality of service (QoS) optimization, and security threat detection. We perform a proof-of-concept evaluation using a real-world network traffic classification dataset, where traffic, security, and QoS optimization agents make decisions based on role-specific features and structured prompts. Our experimental results demonstrate that LaMA-SON achieves higher accuracy and recall while preserving balanced precision-recall trade-offs and outperforms standalone LLM baselines, highlighting the benefits of multi-agent collaboration. Finally, we highlight various open research challenges that require further investigation to fully realize the potential of LLM-based MAS frameworks in network operations management.</t>
  </si>
  <si>
    <t>P-IEEE-082</t>
  </si>
  <si>
    <t>The AML Approach to Modeling Dynamic Organization of Combat Team</t>
  </si>
  <si>
    <t>J. -X. Liu; S. -D. Chen; D. -M. Zhao; J. -S. Gao</t>
  </si>
  <si>
    <t>10.1109/IWISA.2010.5473584</t>
  </si>
  <si>
    <t>https://ieeexplore.ieee.org/stamp/stamp.jsp?arnumber=5473584</t>
  </si>
  <si>
    <t>Modeling the dynamic organization of the combat team based on MAS(Multi-Agent System) is an effective way to enhance its automatic and cooperative decision capability in dynamic, uncertain, complex, and hostile air combat environment. The AML(Agent Modeling Language) is a semi-formal visual modeling language for specifying, modeling and documenting systems that incorporate features drawn from multi-agent systems theory, which can provide software engineers with a ready-to-use, complete and highly expressive modeling language suitable for the development of commercial software solutions based on multi-agent technologies. In this paper, we try to apply AML in modeling organization of the combat team. First, the model of the organization structure of combat team based on MAS, such as the structure, role, and combat goal of the combat team, are modeled by means of agent structure diagram and activity diagram. And then, the evolvement process of the combat team, which include the member change, combat role change etc., are modeled by communication sequence diagram etc.</t>
  </si>
  <si>
    <t>P-IEEE-083</t>
  </si>
  <si>
    <t>Service-Oriented Agent Methodologies</t>
  </si>
  <si>
    <t>G. Cabri; L. Leonardi; M. Puviani</t>
  </si>
  <si>
    <t>10.1109/WETICE.2007.4407121</t>
  </si>
  <si>
    <t>https://ieeexplore.ieee.org/stamp/stamp.jsp?arnumber=4407121</t>
  </si>
  <si>
    <t>Agents and services are two concepts that more and more are integrating and exploiting the advantages of each other. Agent-oriented methodologies effectively support the development of agent-based system in the different phases. In this paper, we explore how and how much the most common agent-oriented methodologies are also oriented to the development of services. Rather than searching for the "best" methodology, we aim at defining some evaluation criteria and surveying the existing methodologies considering such criteria.</t>
  </si>
  <si>
    <t>P-IEEE-084</t>
  </si>
  <si>
    <t>MAMoE: A Multi-Agent Mixture-of-Experts Framework for LLM-Assisted 3D Object Reconstruction and Transmission</t>
  </si>
  <si>
    <t>Y. Liang; R. Jiang; B. Wei; W. Tian; Z. Ma</t>
  </si>
  <si>
    <t>10.1109/TNSE.2025.3618771</t>
  </si>
  <si>
    <t>https://ieeexplore.ieee.org/stamp/stamp.jsp?arnumber=11195735</t>
  </si>
  <si>
    <t>With the growing demand for high-quality 3D content in future wireless networks, minimizing energy consumption for 3D object reconstruction and transmission under strict performance constraints becomes a critical challenge. This paper investigates the problem of minimizing energy consumption for 3D object reconstruction and transmission in a network composed of multiple Network Service Provider–User Equipment (NSP-UE) pairs, where the Quality of Experience (QoE), the user information quality of service (QoS), and the power budget are considered as constraints. To solve the complex multi-pair hybrid task, a Multi-Agent Mixture-of-Experts (MAMoE) framework is proposed to simultaneously optimize 3D object reconstruction and transmission tasks. Integrating the strengths of Multi-Agent Systems (MAS) and Mixture-of-Experts (MoE), the proposed framework dynamically coordinates tasks among decentralized NSPs, with each provider leveraging specialized neural network experts for handling distinct reconstruction and communication subtasks. The reconstruction expert is responsible for selecting a subset of images to reconstruct the 3D object via classical Structure-from-Motion (SfM) and Multi-View Stereo (MVS) methodologies, where the reconstruction quality is evaluated through a comprehensive semantic assessment powered by a Large Language Model (LLM) module. The communication expert is responsible for transmitting the 3D object to the UE, which utilizes a tailored Proximal Policy Optimization (PPO) algorithm designed to optimize the transmission power. Simulation results demonstrate that the proposed framework outperforms both centralized MoE-Proximal Policy Optimization (MoE-PPO) and traditional decentralized Multi-Agent PPO (MAPPO) frameworks. Moreover, we investigate the impact of the number of NSP–UE pairs, QoE and QoS constraints, and time-varying channels on system performance.</t>
  </si>
  <si>
    <t>P-IEEE-085</t>
  </si>
  <si>
    <t>Modeling and Simulating Adaptive Multi-agent Systems with CAMLE</t>
  </si>
  <si>
    <t>L. Shan; C. Du; H. Zhu</t>
  </si>
  <si>
    <t>10.1109/COMPSAC.2015.97</t>
  </si>
  <si>
    <t>https://ieeexplore.ieee.org/stamp/stamp.jsp?arnumber=7273612</t>
  </si>
  <si>
    <t>With the advent of embedded and mobile computing techniques, software systems are increasingly operated in open and dynamic environments. Such systems desire self-adaptive capabilities. This paper proposes an agent-oriented approach to the modeling and simulation of distributed adaptive systems. The approach enables to construct structural and behavioral models at a high abstraction level, and to validate the models at design stage through model simulation. The modeling language facilitates devising decentralized adaption logic at both component and system levels. Simulation demonstrates how a system dynamically re-organizes in response to the changes in the operating context. Case studies show that our approach can support various self-adaptation mechanisms with which a multi-agent system adjusts to internal failures, unexpected environment, or user's changing requirements.</t>
  </si>
  <si>
    <t>P-IEEE-086</t>
  </si>
  <si>
    <t>From Abstract Prompts to Cybersecurity Labs: Automating Virtual Environment Design and Deployment with Multi-Agent Systems and LLM-Driven Orchestration</t>
  </si>
  <si>
    <t>Y. Ahmed; A. Eissa; O. Harb; O. Miniesy; Z. Miniesy; M. Noureldin; A. E. Mougy</t>
  </si>
  <si>
    <t>10.1109/ICSC65596.2025.11140357</t>
  </si>
  <si>
    <t>https://ieeexplore.ieee.org/stamp/stamp.jsp?arnumber=11140357</t>
  </si>
  <si>
    <t>Cyber ranges are essential for cybersecurity training, but current systems face challenges like resource-intensive infrastructures, static configurations, and laborious setups, limiting scalability and accessibility, especially for educational institutions with fewer resources. To address these issues, this paper introduces a containerized multi-agent system that automates the design and deployment of cybersecurity training environments. Using large language models (LLMs) for scenario orchestration, the system transforms natural language prompts into fully functional environments through Docker containerization. It features three specialized agents: a master agent for scenario planning, machine worker agents for environment and vulnerability generation, and a quality assurance agent for validation and debugging, ensuring modularity, scalability, and precision. Evaluated across 14 diverse attack scenarios, the system demonstrates high accuracy in generating web vulnerabilities, network exploits, and multi-step attacks. By automating scenario creation and deployment, this system enhances cybersecurity education and training, bridging critical gaps and offering a scalable, adaptive, and resource-efficient solution to meet the growing demand for skilled cybersecurity professionals.</t>
  </si>
  <si>
    <t>P-IEEE-087</t>
  </si>
  <si>
    <t>Harnessing Multi-Agent LLMs for Complex Engineering Problem-Solving: A Framework for Senior Design Projects</t>
  </si>
  <si>
    <t>A. Mushtaq; R. Naeem; I. Ghaznavi; I. Taj; I. Hashmi; J. Qadir</t>
  </si>
  <si>
    <t>10.1109/EDUCON62633.2025.11016653</t>
  </si>
  <si>
    <t>https://ieeexplore.ieee.org/stamp/stamp.jsp?arnumber=11016653</t>
  </si>
  <si>
    <t>Multi-Agent Large Language Models (LLMs) are gaining attention for their ability to harness collective intelligence in complex problem-solving, decision-making, and planning tasks. This aligns with the wisdom of crowds concept, where diverse agents collectively generate effective solutions, making them well-suited for educational settings. Senior design projects, pivotal in engineering education, integrate theoretical knowledge with practical application, fostering critical thinking, teamwork, and real-world problem-solving skills. These projects often involve multidisciplinary considerations and conflicting objectives, such as optimizing technical performance while addressing ethical, social, and environmental concerns. In this paper, we explore a framework where distinct LLM agents embody expert perspectives, including problem formulation, system complexity, societal and ethical considerations, and project management. These agents engage in rich, collaborative dialogues, leveraging multi-agent system principles like coordination, cooperation, and negotiation. Prompt engineering is employed to create diverse personas, simulating human engineering teams and incorporating swarm AI principles to balance contributions efficiently. To evaluate the framework, we analyzed six senior capstone project proposals from engineering and computer science, comparing Multi-Agent and single-agent LLMs using metrics developed with engineering faculty and widely used NLP-based measures. These metrics assess technical quality, ethical considerations, social impact, and feasibility, aligning with the educational objectives of engineering design. Our findings suggest that Multi-Agent LLMs can provide a richer, more inclusive problem-solving environment compared to single-agent systems with 89% alignment with engineering-faculty scores, offering a promising tool for enhancing the educational experience of engineering and computer science students by simulating the complexity and collaboration of real-world engineering and computer science practice. By supporting senior design projects, this tool not only aids in achieving academic excellence but also prepares students for the multifaceted challenges they will face in their professional engineering careers. We have open-sourced our framework for further development and adaptation on GitHub11Copilot is available at GitHub Repository: https://github.com/AbdullahMushtaq78/Multi-Agent-SDP-Copliot.</t>
  </si>
  <si>
    <t>P-IEEE-088</t>
  </si>
  <si>
    <t>Language Evolution for Evading Social Media Regulation via LLM-Based Multi-Agent Simulation</t>
  </si>
  <si>
    <t>J. Cai; J. Li; M. Zhang; M. Li; C. -S. Wang; K. Tei</t>
  </si>
  <si>
    <t>10.1109/CEC60901.2024.10612015</t>
  </si>
  <si>
    <t>https://ieeexplore.ieee.org/stamp/stamp.jsp?arnumber=10612015</t>
  </si>
  <si>
    <t>Social media platforms such as Twitter, Reddit, and Sina Weibo playa crucial role in global communication but often encounter strict regulations in geopolitically sensitive regions. This situation has prompted users to ingeniously modify their way of communicating, frequently resorting to coded language in these regulated social media environments. This shift in communication is not merely a strategy to counteract regulation, but a vivid manifestation of language evolution, demonstrating how language naturally evolves under societal and technological pressures. Studying the evolution of language in regulated social media contexts is of significant importance for ensuring freedom of speech, optimizing content moderation, and advancing linguistic research. This paper proposes a multi-agent simulation frame-work using Large Language Models (LLMs) to explore the evolution of user language in regulated social media environments. The framework employs LLM-driven agents: supervisory agent who enforce dialogue supervision and participant agents who evolve their language strategies while engaging in conversation, simulating the evolution of communication styles under strict regulations aimed at evading social media regulation. The study evaluates the framework's effectiveness through a range of scenarios from abstract scenarios to real-world situations. Key findings indicate that LLMs are capable of simulating nuanced language dynamics and interactions in constrained settings, showing improvement in both evading supervision and information accuracy as evolution progresses. Furthermore, it was found that LLM agents adopt different strategies for different scenarios. The reproduction kit can be accessed at https://github.com/BlueLinkXlGA-MAS.</t>
  </si>
  <si>
    <t>P-IEEE-089</t>
  </si>
  <si>
    <t>LLM-powered Smart Spaces with Multi-agent User-centric Adaptation</t>
  </si>
  <si>
    <t>A. Saleh; M. Hassaan; Q. Zhang; S. Tarkoma; S. Pirttikangas; L. Lovén</t>
  </si>
  <si>
    <t>10.1109/ICDCSW63273.2025.00109</t>
  </si>
  <si>
    <t>https://ieeexplore.ieee.org/stamp/stamp.jsp?arnumber=11262564</t>
  </si>
  <si>
    <t>The increasing integration of Large Language Models (lLMs) into smart environments has driven the need for adaptive, user-centric AI solutions that enhance personalized experiences. This study introduces a multi-agent system that dynamically adjusts environmental settings based on real-time user preferences. By leveraging agentic AI within a computing continuum, our framework employs personalized LLM agents that negotiate with smart building agents to optimize temperature, humidity, and lighting conditions while maintaining energy efficiency. Using the AutoGen framework, our system orchestrates structured agent interactions to ensure seamless coordination and decision-making. We evaluate various LLMs, including GPT-4o, Gemini-2.0-Flash, Claude-3.5-Sonnet, and SmolLM2, in terms of precision, computational efficiency, and resource utilization. Results demonstrate that GPT-4o and GPT-4o-mini achieve the highest precision while minimizing resource overhead, whereas other models exhibit inefficiencies in execution speed and agent coordination.</t>
  </si>
  <si>
    <t>RQ1; RQ2; RQ4</t>
  </si>
  <si>
    <t>P-IEEE-090</t>
  </si>
  <si>
    <t>When DeepSeek meets E-CARGO</t>
  </si>
  <si>
    <t>J. Yang; W. Shang; T. Yi; Y. Xie</t>
  </si>
  <si>
    <t>10.1109/E-CARGO65996.2025.11139294</t>
  </si>
  <si>
    <t>https://ieeexplore.ieee.org/stamp/stamp.jsp?arnumber=11139294</t>
  </si>
  <si>
    <t>This paper explores the application of DeepSeek's large language model to the E-CARGO multi-agent system, aiming to enhance the intelligent decision-making capabilities of the agents. By integrating DeepSeek, this paper demonstrates how its high-level language understanding and generation capabilities can be utilized to extend the decision-support functions of the E-CARGO model. The paper first outlines the integration strategy of DeepSeek with the E-CARGO model, including technical implementation, interface design and data processing. Subsequently, the paper describes the key components of integrating DeepSeek's E-CARGO model and their advantages. Finally, challenges, limitations, and coping strategies in the integration process are discussed, providing new insights into the intelligent development of multi-agent systems.</t>
  </si>
  <si>
    <t>P-IEEE-091</t>
  </si>
  <si>
    <t>A Multi-Agent Architecture for Privacy-Preserving Natural Language Interaction with FHIR-Based Electronic Health Records</t>
  </si>
  <si>
    <t>C. De Maio; G. Fenza; D. Furno; T. Grauso; V. Loia</t>
  </si>
  <si>
    <t>10.23919/SoftCOM62040.2024.10721684</t>
  </si>
  <si>
    <t>https://ieeexplore.ieee.org/stamp/stamp.jsp?arnumber=10721684</t>
  </si>
  <si>
    <t>Integrating Electronic Health Records (EHRs) into clinical workflows is essential for enhancing healthcare delivery but poses significant challenges, such as improving human-machine interaction through natural language queries. This paper addresses these challenges by leveraging Large Language Models (LLMs) within a multi-agent architecture. The aim is to develop a privacy-preserving method enabling clinicians to interact with FHIR-based EHRs using natural language. The novelty of the proposed technique lies in using publicly available LLMs to construct URIs for retrieving FHIR resources and a local LLM to interpret these resources, thus safeguarding patient privacy by preventing direct exposure of sensitive data. Evaluated with the SyntheticMass dataset, the multi-agent system demonstrated superior accuracy and detail over a single-model approach while maintaining competitive response times.</t>
  </si>
  <si>
    <t>P-IEEE-092</t>
  </si>
  <si>
    <t>Developping a Smart Archival Assistant with Conversational Features and Linguistic Abilities: The Ask_ArchiLab Initiative</t>
  </si>
  <si>
    <t>B. M. Shabou; L. Friha; W. Ramli</t>
  </si>
  <si>
    <t>10.1109/BigData66926.2025.11401665</t>
  </si>
  <si>
    <t>https://ieeexplore.ieee.org/stamp/stamp.jsp?arnumber=11401665</t>
  </si>
  <si>
    <t>This article describes Ask_ArchiLab project, a recent project conducted at ArchiLab_Geneva School of Business Administration. The project aims to modernize archival practices using conversational AI. It addresses challenges in digital archiving through a multi-agent system that enables fast, contextual queries. The current focus is on delivering professional archival knowledge via semantic technologies like RDF using advanced RAG techniques. The project fosters international collaboration to enhance access and usability in archival science.</t>
  </si>
  <si>
    <t>P-IEEE-093</t>
  </si>
  <si>
    <t>Model-Driven Engineering of Multi Agent Systems</t>
  </si>
  <si>
    <t>V. Gorodetsky; O. Karsaev; V. Konushy; V. Samoilov</t>
  </si>
  <si>
    <t>10.1109/WIIAT.2008.131</t>
  </si>
  <si>
    <t>https://ieeexplore.ieee.org/stamp/stamp.jsp?arnumber=4740601</t>
  </si>
  <si>
    <t>Currently elaboration of powerful methodologies and development environments is one of the most important research challenges in the area of agent-based systems. Support of a complete life cycle of applications development, reduction of human involvement in their design, implementation and deployment, refinement of languages for agent behavior modeling, reuse of existing software components are the main requirements to efficient and effective development environments. The paper presents one of such environments, multi-agent system development kit (MASDK), that provides for the above requirements.</t>
  </si>
  <si>
    <t>P-IEEE-094</t>
  </si>
  <si>
    <t>Design and Implementation of a Smart, Product-Led Production Control Using Industrial Agents</t>
  </si>
  <si>
    <t>B. Marschall; D. Ochsenkuehn; T. Voigt</t>
  </si>
  <si>
    <t>10.1109/JESTIE.2021.3117121</t>
  </si>
  <si>
    <t>https://ieeexplore.ieee.org/stamp/stamp.jsp?arnumber=9556591</t>
  </si>
  <si>
    <t>In theory, the design of modern production systems in the form of a cyber–physical production system (CPPS) allows more flexibility, simple expandability, quick adaptability, and intelligent production control by the product. Multiagent systems (MASs) are thereby recommended as control solution because of their autonomy and dynamic decentralized architecture. Although their potential use and technical excellence have been proven, the costs of implementation and maintenance still outweigh their supposed advantages. This results in low acceptance and usage of operational MAS in the industry. This article describes topics that need to be considered when designing and implementing an MAS as production control for a CPPS in the context of customized mass production. Generally developed approaches are presented, which were implemented in a commercially developed agent framework and validated on the basis of an industrial use case for a product-led filling process in lot size one. All implemented concepts aim to be reusable in comparable applications across industries. In combination with the MAS-internal testing approach also presented, this should contribute to faster, more cost-effective implementation of reliable MAS solutions and ultimately increase their technical maturity.</t>
  </si>
  <si>
    <t>P-IEEE-095</t>
  </si>
  <si>
    <t>Automating Prompt Leakage Attacks on Large Language Models Using Agentic Approach</t>
  </si>
  <si>
    <t>T. Sternak; D. Runje; D. Granoša; C. Wang</t>
  </si>
  <si>
    <t>10.1109/MIPRO65660.2025.11131790</t>
  </si>
  <si>
    <t>https://ieeexplore.ieee.org/stamp/stamp.jsp?arnumber=11131790</t>
  </si>
  <si>
    <t>This paper introduces a novel framework for evaluating the security of large language models (LLMs) against prompt leakage-the exposure of system-level prompts or proprietary configurations-which we identify as a critical threat to secure LLM deployment. Leveraging a multi-agent system implemented using AG2 (formerly AutoGen), we design agentic teams tasked with probing and exploiting the target LLM to elicit its prompt. Inspired by cryptographic principles, we define a prompt leakage-safe system as one in which an attacker cannot distinguish between two agents: one initialized with an original prompt and the other with a prompt stripped of sensitive information. In such a system, the agents' outputs are indistinguishable, ensuring sensitive information remains secure. This framework establishes a rigorous standard for evaluating and designing secure LLMs, bridging the gap between automated threat modeling and practical LLM security through adversarial testing. The implementation of prompt leakage probing is available at GitHub: https://github.com/sternakt/prompt-leakage-probing</t>
  </si>
  <si>
    <t>RQ3; RQ4; RQ5</t>
  </si>
  <si>
    <t>P-IEEE-096</t>
  </si>
  <si>
    <t>Conversational Product Navigation for E-Commerce Via Knowledge-Based Multi-Agent Chatbots</t>
  </si>
  <si>
    <t>G. -B. Truong; T. -D. Trinh</t>
  </si>
  <si>
    <t>10.1109/KSE68178.2025.11309460</t>
  </si>
  <si>
    <t>https://ieeexplore.ieee.org/stamp/stamp.jsp?arnumber=11309460</t>
  </si>
  <si>
    <t>Chatbots have become essential tools on e-commerce platforms, enabling automated customer consultation and support. However, most existing chatbots remain passive, merely responding to user-initiated queries without aligning with business objectives. This paper proposes a comprehensive chatbot architecture that integrates a smart question suggestion system to proactively guide conversations toward predefined business goals while maintaining natural and user-relevant interactions. The architecture combines a product knowledge graph, which links products through shared attributes, with a multi-agent system powered by large language models (LLMs) to generate goal-oriented question suggestions. The system's effectiveness is evaluated using a simulated user environment, demonstrating its ability to maintain engaging dialogues and steer users toward target products. The proposed chatbot thus balances user satisfaction with strategic business outcomes.</t>
  </si>
  <si>
    <t>P-IEEE-097</t>
  </si>
  <si>
    <t>Scalable Invoice Reconciliation for SMEs: Edge-Deployed LLMs in Multi-Agent Systems</t>
  </si>
  <si>
    <t>D. Huang; G. Malwe; R. Varshney; A. Tse; Z. Wang</t>
  </si>
  <si>
    <t>10.1109/ICDSAAI65575.2025.11011581</t>
  </si>
  <si>
    <t>https://ieeexplore.ieee.org/stamp/stamp.jsp?arnumber=11011581</t>
  </si>
  <si>
    <t>Large Language Models (LLMs) have transformed business operations through their advanced capabilities in logic processing, contextual understanding, and task execution. However, deploying multi-agent workflows in real-world scenarios presents significant challenges, including high computational demands, elevated costs, data privacy concerns, and the lack of mature frameworks. This paper introduces a novel approach to invoice reconciliation utilizing edge-deployed LLMs within a multi-agent system specifically designed for small and medium-sized enterprises (SMEs). Our solution addresses critical challenges such as resource efficiency, data privacy, and cost-effectiveness while delivering high accuracy. Through a comprehensive evaluation, we demonstrate that the mid-tier model qwen2.5:32b achieves an impressive 99.9% success rate with execution times comparable to proprietary models. Additionally, the functionary-small model achieves an optimal balance between success rate and resource consumption, making it particularly suitable for resource-constrained, real-time reconciliation tasks. By leveraging localized LLM deployments and efficient agent coordination, our system exhibits scalability, adaptability, and practical utility in automating invoice reconciliation processes for SMEs.</t>
  </si>
  <si>
    <t>P-IEEE-098</t>
  </si>
  <si>
    <t>Enhancing Multi-Agent Systems via Reinforcement Learning with LLM-Based Planner and Graph-Based Policy</t>
  </si>
  <si>
    <t>Z. Jia; J. Li; X. Qu; J. Wang</t>
  </si>
  <si>
    <t>10.1109/ICRA55743.2025.11127486</t>
  </si>
  <si>
    <t>https://ieeexplore.ieee.org/stamp/stamp.jsp?arnumber=11127486</t>
  </si>
  <si>
    <t>Multi-agent systems (MAS) have shown great potential in executing complex tasks, but coordination and safety remain significant challenges. Multi-Agent Reinforcement Learning (MARL) offers a promising framework for agent collaboration, but it faces difficulties in handling complex tasks and designing reward functions. The introduction of Large Language Models (LLMs) has brought stronger reasoning and cognitive abilities to MAS, but existing LLM-based systems struggle to respond quickly and accurately in dynamic environments. To address these challenges, we propose LLM-based Graph Collaboration MARL (LGC-MARL), a framework that efficiently combines LLMs and MARL. This framework decomposes complex tasks into executable subtasks and achieves efficient collaboration among multiple agents through graph-based coordination. Specifically, LGC-MARL consists of two main components: an LLM planner and a graph-based collaboration meta policy. The LLM planner transforms complex task instructions into a series of executable subtasks, evaluates the rationality of these subtasks using a critic model, and generates an action dependency graph. The graph-based collaboration meta policy facilitates communication and collaboration among agents based on the action dependency graph, and adapts to new task environments through meta-learning. Experimental results on the AI2-THOR simulation platform demonstrate the superior performance and scalability of LGC-MARL in completing various complex tasks.</t>
  </si>
  <si>
    <t>P-IEEE-099</t>
  </si>
  <si>
    <t>A Vision for Debiasing Confirmation Bias in Software Testing via LLM</t>
  </si>
  <si>
    <t>I. Salman; M. Waseem; V. Mandić; R. D. De Alwis</t>
  </si>
  <si>
    <t>10.1109/ESEM64174.2025.00050</t>
  </si>
  <si>
    <t>https://ieeexplore.ieee.org/stamp/stamp.jsp?arnumber=11323346</t>
  </si>
  <si>
    <t>Background: Large language models (LLM) suffer from various forms of biases due to the biased datasets used to train the models. At the same time, human cognitive biases have an equal propensity to express themselves when using LLMs for software engineering tasks. Software testing is a critical phase of the software development life cycle. Confirmation bias is reported to have deteriorated software testing by designing more specification-consistent test cases compared to specificationinconsistent test cases. However, there is a lack of debiasing (mitigation) strategies in this regard. Aims: In this paper, first, we investigate whether the LLM model suffers from confirmation bias while performing software testing tasks. Second, we propose a vision of debasing confirmation bias in software testing via LLM. Method: We conducted an empirical study to detect confirmation bias by an LLM (ChatGPT4.0) in the design of functional test cases. Based on empirical findings, we used the analytical paradigm to design a multi-agent system. Results: We present a vision for debiasing confirmation bias in functional software testing by leveraging LLMs via a multi-agent approach. Conclusions: The proposed vision may improve the performance of LLMs in terms of reduced confirmation bias and serve as a debiasing technique for functional software testing.</t>
  </si>
  <si>
    <t>P-IEEE-100</t>
  </si>
  <si>
    <t>Governance in Adaptive Normative Multiagent Systems for the Internet of Smart Things: Challenges and Future Directions</t>
  </si>
  <si>
    <t>M. Viana; L. Caetano; F. Cunha; P. Alencar; C. Lucena</t>
  </si>
  <si>
    <t>10.1109/BigData.2018.8622622</t>
  </si>
  <si>
    <t>https://ieeexplore.ieee.org/stamp/stamp.jsp?arnumber=8622622</t>
  </si>
  <si>
    <t>The rapidly changing environments in which companies operate to support the Internet of Things (IoT) and Autonomous Vehicles is challenging traditional Multi-agent System (MAS) approaches. The requirements of these highly dynamic environments gave rise to Adaptive Normative MAS approaches. At the same time, governance is an essential and challenging feature that still needs to be addressed in adaptive normative MAS. Indeed, governance of individual and societal agent behavior in Adaptive Normative MASs is still a vague concept that has not been properly investigated, modeled and implemented. However, governance is fundamental for solving problems involving MAS coordination, organizations and institutions. In this paper, we present our ongoing research towards understanding and improving governance in Adaptive Normative MASs. We also discuss challenges and future directions that will facilitate the development of domain-specific smart IoT systems with governance features.</t>
  </si>
  <si>
    <t>RQ2; RQ5; RQ6</t>
  </si>
  <si>
    <t>P-IEEE-101</t>
  </si>
  <si>
    <t>Recommended practices for the specification of multi-agent systems requirements</t>
  </si>
  <si>
    <t>K. Slhoub; M. Carvalho; W. Bond</t>
  </si>
  <si>
    <t>10.1109/UEMCON.2017.8249021</t>
  </si>
  <si>
    <t>https://ieeexplore.ieee.org/stamp/stamp.jsp?arnumber=8249021</t>
  </si>
  <si>
    <t>The lack of process standardization in the development of multi-agent systems (MAS) causes a great deal of difficulty for developers in addressing major development phases, such as requirements analysis. Instead, such MAS infrastructure is generally attended to in an ad-hoc fashion and important aspects of requirements analysis are often neglected altogether. The IEEE Std 830 model plays a key role in standardizing requirement specifications (SRS) for complex development of conventional software. Knowing that MAS are a natural and logical evolution of the conventional software development paradigms, we believe that the MAS requirement phase can thoroughly benefit from applying such a specific standard model in such a way that results in a high-quality and more accepted SRS artifact. Our purpose in this paper is to utilize and extend the IEEE Std 830-2009 model to specify requirements of multi-agent systems.</t>
  </si>
  <si>
    <t>P-IEEE-102</t>
  </si>
  <si>
    <t>The New Era of Knowledge Retrieval: Multi-Agent Systems Meet Generative AI</t>
  </si>
  <si>
    <t>N. Holtz; S. Wittfoth; J. M. Gómez</t>
  </si>
  <si>
    <t>10.23919/PICMET64035.2024.10653018</t>
  </si>
  <si>
    <t>https://ieeexplore.ieee.org/stamp/stamp.jsp?arnumber=10653018</t>
  </si>
  <si>
    <t>In the realm of interactive chat systems, the fusion of Multi-Agent Systems (MAS) with Generative Artificial Intelligence (GAl) presents a promising approach to dynamic information retrieval and personalized user experiences. Handling diverse data sources with distinct modalities, especially in real-time, poses challenges. This paper provides a comprehensive overview of MAS and GAl, emphasizing their synergistic potential in complex real-time searches. A notable contribution is an experimental prototype adept at navigating real-time data sources beyond the AI's training data, enhancing the user's information-seeking experience. By integrating MAS adaptability with GAl's data-processing capabilities, our approach delivers valuable real-time insights. The exploration of knowledge graphs based on acquired data further enriches the system. However, inherent limitations include scalability challenges, data integrity maintenance, and the refinement of the user experience. Addressing these challenges lays the foundation for future research in the exciting intersection of MAS and GAl, offering insights into the potential of this combined approach in advancing interactive chat systems.</t>
  </si>
  <si>
    <t>RQ5; RQ6</t>
  </si>
  <si>
    <t>P-IEEE-103</t>
  </si>
  <si>
    <t>A Design-Driven Taxonomy of AI Agentic Patterns</t>
  </si>
  <si>
    <t>J. E. Joyce; S. Maheshwari</t>
  </si>
  <si>
    <t>10.1109/CONECCT65861.2025.11306519</t>
  </si>
  <si>
    <t>https://ieeexplore.ieee.org/stamp/stamp.jsp?arnumber=11306519</t>
  </si>
  <si>
    <t>AI agents autonomously perceive, reason, and act to achieve specific objectives. As their complexity grows, structured design methodologies are essential for ensuring scalability, efficiency, and interpretability. While architectural patterns provide reusable solutions, the diverse nature of agent models necessitates a systematic classification. This paper introduces a taxonomy of agentic pattern categories, organizing agent architectures into reactive, learning-based, goal-oriented, multi-agent system, communication, foundation model, and ethical AI patterns. We explore the defining characteristics, design principles, and practical applications of each category, emphasizing their role in enabling intelligence by design. This taxonomy serves as a foundational framework for researchers and practitioners seeking to develop AI systems that are more structured, interpretable, and adaptable.</t>
  </si>
  <si>
    <t>P-IEEE-104</t>
  </si>
  <si>
    <t>Few-Shot Document-Level Event Argument Extraction Based on Multi-Agent Systems</t>
  </si>
  <si>
    <t>J. Yu; Y. Xian; Z. Yu; H. Wang; Y. Huang; Y. Xiang</t>
  </si>
  <si>
    <t>10.1109/NNICE64954.2025.11064421</t>
  </si>
  <si>
    <t>https://ieeexplore.ieee.org/stamp/stamp.jsp?arnumber=11064421</t>
  </si>
  <si>
    <t>Event Argument Extraction (EAE) is a fundamental task in Natural Language Processing (NLP) that aims to identify and extract role-specific arguments from event templates in textual data. Although significant progress has been made in sentence-level extraction, real-world events are often spread across multiple sentences, requiring document-level extraction models. These models usually rely on fully annotated datasets, but because annotation is costly and time-consuming, Few-Shot Learning (FSL) has emerged as a promising alternative for addressing the lack of labeled data. However, traditional FSL models struggle to effectively capture long document contexts and address the challenge of highly imbalanced label distributions, making Few-Shot Document-level Event Argument Extraction especially difficult. Recently, in-context learning (ICL) approaches using large language models (LLMs) have shown promise in addressing few-shot learning tasks. However, constructing suitable context examples for such tasks requires careful design, and the diverse types of event arguments in EAE add complexity to selecting examples for ICL. To address these challenges, we propose a multi-agent system-based approach for few-shot document-level event argument extraction. Our method uses three specialized LLM-driven agents to automatically carry out iterative extraction and result optimization. Experiments show that by constructing basic prompt templates and leveraging agent collaboration to enhance LLMs' context comprehension, our approach outperforms traditional models without requiring any training. This provides a scalable solution for FSL and various NLP applications.</t>
  </si>
  <si>
    <t>P-IEEE-105</t>
  </si>
  <si>
    <t>Composable and Modular Autonomy for Maritime Robotics: Bridging Human-Robot Collaboration</t>
  </si>
  <si>
    <t>E. Khorrambakht; P. Marinelli; E. Gerbier; S. Chiaverini; A. Caiti; P. Di Lillo; A. Munafo</t>
  </si>
  <si>
    <t>10.1109/OCEANS58557.2025.11104390</t>
  </si>
  <si>
    <t>https://ieeexplore.ieee.org/stamp/stamp.jsp?arnumber=11104390</t>
  </si>
  <si>
    <t>Maritime operations incorporating multiple autonomous underwater vehicles (AUVs) pose serious challenges for human-robot cooperation due to environmental unpredictability and the complexity of handling multiple vehicles. This paper presents a novel modular and composable autonomy framework that improves human-AUV collaboration for marine missions such as multi-robot hull inspection. The structure employs a layered multi-agent system in which a supervisory agent, utilizing Large Language Models (LLMs), interprets operator commands, while separate LLM-driven robotic agents handle AUVs, negotiate task distributions, and oversee robot status. This advanced reasoning combines with Deep Reinforcement Learning (DRL) strategies for vehicle control (e.g., navigation, maintaining shared autonomy formation). Validation has been done via simulated ship hull inspection scenarios to demonstrate the framework's essential capabilities. The framework design, featuring collaborative target-tracking principles, seeks to lessen operator cognitive burden, enhance situational awareness, and facilitate adaptive mission operations in complex multi-AUV maritime systems.</t>
  </si>
  <si>
    <t>P-IEEE-106</t>
  </si>
  <si>
    <t>MAD-CTI: Cyber Threat Intelligence Analysis of the Dark Web Using a Multi-Agent Framework</t>
  </si>
  <si>
    <t>S. Shah; V. K. Madisetti</t>
  </si>
  <si>
    <t>10.1109/ACCESS.2025.3547172</t>
  </si>
  <si>
    <t>https://ieeexplore.ieee.org/stamp/stamp.jsp?arnumber=10908603</t>
  </si>
  <si>
    <t>The dark web is a host to illicit activities where hacker forums, blogs, and articles provide significant insights into Cyber Threat Intelligence (CTI) that are frequently unavailable on the surface web. The increasing incidence of security breaches underscores the necessity for advanced CTI solutions to defend against emerging threats. This paper introduces MAD-CTI, a novel multi-agent framework based on Large Language Models (LLM) designed to extract insights from dark web sources. It independently scrapes, analyzes, and classifies content related to vulnerabilities, malware, and hacking, by leveraging a multi-agent architecture to improve efficiency, scalability, and consistency. By utilizing state-of-the-art LLM models and agents, we demonstrate how organizations can adopt this methodology to enhance the accuracy and efficiency of CTI.</t>
  </si>
  <si>
    <t>P-IEEE-107</t>
  </si>
  <si>
    <t>Applying a UML Profile in the Requirements Modeling to Multi-Agents Systems</t>
  </si>
  <si>
    <t>G. T. A. Guedes; R. M. Vicari</t>
  </si>
  <si>
    <t>10.1109/QUATIC.2010.39</t>
  </si>
  <si>
    <t>https://ieeexplore.ieee.org/stamp/stamp.jsp?arnumber=5655272</t>
  </si>
  <si>
    <t>This paper describes the application of a UML profile in the requirements modeling of a multi-agent system project. The profile at issue was designed with the purpose of modeling reactive and cognitive agents, as well as actions, perceptions, goals and plans for those agents in a collecting and analysing requirements level. In this paper we will describe the developed profile as well as its application in the modeling of the AME-A project.</t>
  </si>
  <si>
    <t>P-IEEE-108</t>
  </si>
  <si>
    <t>A Multi-Agent Framework for Natural Language-Driven Network Simulation</t>
  </si>
  <si>
    <t>A. S. Colletto; P. B. Bassano; A. Viticchié; A. Aliberti</t>
  </si>
  <si>
    <t>10.1109/WiMob66857.2025.11257534</t>
  </si>
  <si>
    <t>https://ieeexplore.ieee.org/stamp/stamp.jsp?arnumber=11257534</t>
  </si>
  <si>
    <t>This paper presents a framework that combines large language models (LLMs) with a multi-agent system (MAS) to automate the translation of natural language instructions into executable network simulations. Designed to improve the usability of traditional simulators, the proposed system enables users, regardless of technical background, to interact with Mininet through intuitive language prompts. The MAS architecture assigns specific tasks to agents, including input parsing, topology analysis, code generation, execution, and result interpretation. A retrieval-augmented generation (RAG) module boosts contextual understanding by accessing authoritative documentation. The framework was tested on benchmark scenarios of increasing complexity, such as connectivity checks, routing optimization, and DDoS mitigation. Results show that LLMs are effective at interpreting intent and refining prompts, while code generation, especially for complex tasks, remains a challenge. Larger models performed better in accuracy and robustness, whereas smaller ones struggled with error handling and refinement. These findings highlight both the promise and current limitations of agentic AI in network simulation, positioning the system as a foundation for more intelligent and accessible tools in education, research, and infrastructure management.</t>
  </si>
  <si>
    <t>P-IEEE-109</t>
  </si>
  <si>
    <t>A Multi-Agent Garage Service Search and Recommendation with Hybrid MLs and LLMs</t>
  </si>
  <si>
    <t>M. R. Shuvo; A. Rahman; V. Akuthota; T. Paul; M. Islam; M. S. Ashraf; P. Roy; M. T. Reza</t>
  </si>
  <si>
    <t>10.1109/ICCECE61355.2025.10940937</t>
  </si>
  <si>
    <t>https://ieeexplore.ieee.org/stamp/stamp.jsp?arnumber=10940937</t>
  </si>
  <si>
    <t>The automobile service industry’s explosive growth highlights the need for creative approaches to boost operational effectiveness and user experience. This study introduces a Hybrid Garage Assistance System, integrating Classical Machine Learning (ML) techniques with Generative AI to optimize garage service discovery and analysis. The system employs sophisticated data processing methods, including Term Frequency-Inverse Document Frequency (TF-IDF) vectorization and regex-based service detection, to extract actionable insights from unstructured garage data.Central to the system are machine learning models Random Forest (RF) and XGBoost (XGB) which achieve high precision and recall in classifying garage services. A hybrid search mechanism, combining cosine similarity with ML-driven predictions, ensures the delivery of highly personalized search results. To further refine decision-making, the system incorporates Generative AI models such as Perplexity for web-based research, Gemini for location-specific analysis, Mistral for email sending and GPT-4 for detailed service recommendations and dall-e for creating user specific parts images. These advanced tools provide users with comprehensive information that enables them to make well-informed decisions about garage services.Performance evaluation of the system is conducted using robust metrics, including precision, recall, F1-score, and system latency. Experimental results reveal a precision of $\mathbf{8 5 \%}$, recall of $\mathbf{7 0 . 8 \%}$, and an F1-score of $\mathbf{7 7 . 2 \%}$, demonstrating the efficacy of integrating classical ML with generative AI. The system’s average latency of 5.9 seconds ensures a seamless and responsive user experience.This hybrid framework highlights the potential of blending classical ML and Large Language Models (LLMs) to enhance search and recommendation functionalities, offering a scalable and robust blueprint for future advancements in the automotive service sector. The system’s Propose a Multi-Agent System With high accuracy, scalability, and reliability position it as a cutting-edge solution for users navigating the complexities of garage service selection.</t>
  </si>
  <si>
    <t>P-IEEE-110</t>
  </si>
  <si>
    <t>Self-Evaluation can Help Agents Meet Social Expectations</t>
  </si>
  <si>
    <t>P. Salmani; P. R. Lewis</t>
  </si>
  <si>
    <t>10.1109/ACSOS-C66519.2025.00041</t>
  </si>
  <si>
    <t>https://ieeexplore.ieee.org/stamp/stamp.jsp?arnumber=11217458</t>
  </si>
  <si>
    <t>As artificial intelligence (AI) and multi-agent systems (MAS) become increasingly advanced and integrated into real-world applications, they are frequently used for content generation, problem-solving, and interactive communication. However, these systems still lack reflective capabilities, the ability to self-evaluate and reason about their own decisions. In particular, large language models (LLMs) often exhibit surface-level reflection that is more a product of linguistic prediction than reasoning. In this paper, we implement a case study on a recently proposed architecture designed to equip AI systems with reflective and self-evaluation capabilities. We implement and evaluate this architecture using a widely accessible LLM, Llama3, as the test bed and compare its baseline performance with the same model enhanced by this reflective architecture. To test the proposed system's ability to navigate social norms, we designed a normsensitive scenario involving a surprise birthday party. The model was prompted with 30 realistic questions that the guest of honor might ask, and its responses were evaluated across four metrics. The self-evaluator module is implemented using a second LLM to assess whether the base model's response aligns with defined norms and expectations. If not, the prompt is revised and reevaluated in an iterative loop. Experimental results show that this reflective setup improves the model's compliance with social and common-sense expectations, without requiring additional training or complex prompt engineering.</t>
  </si>
  <si>
    <t>P-IEEE-111</t>
  </si>
  <si>
    <t>RAFTAR-FM: Retrieval-Augmented, Feedback-Tuned Agentic Resolution for Facilities Maintenance</t>
  </si>
  <si>
    <t>A. Pandey; H. Pant; R. Ranaut</t>
  </si>
  <si>
    <t>10.1109/AIMLSystems67835.2025.11331196</t>
  </si>
  <si>
    <t>https://ieeexplore.ieee.org/stamp/stamp.jsp?arnumber=11331196</t>
  </si>
  <si>
    <t>Efficient resolution of maintenance work orders is crucial in operations-heavy industries but is often hindered by high technician turnover and rapidly evolving equipment. These challenges lead to prolonged downtime, increased reliance on costly third-party services, and delays in parts procurement. A key barrier is that critical repair knowledge is dispersed across various sources and often inaccessible at the point of need. We propose RAFTAR-FM, a Retrieval-Augmented, FeedbackTuned, Multi-Agent System for facilities maintenance, designed to provide accurate, real-time repair guidance by synthesizing multi-modal information. RAFTAR-FM orchestrates four specialized agents, each responsible for retrieval and synthesis from a distinct modality: historical tickets, trade manuals, instructional videos, and live web content. The system employs function-calling language models for agent coordination and introduces practical innovations: timestamp-aware video chaptering, HTML-aware web retrieval (HTML-RAG), and a hybrid memory for long-term knowledge retention. A central feature of RAFTAR-FM is its supervised feedback loop, which continuously preference-tunes the model using technician-authored resolutions. We apply Instructional Preference Optimization (IPO) to align generations with preferred repair patterns while avoiding model drift. To evaluate outputs, we introduce a suite of metrics - ordered BERTScore, semantic edit distance, Kendall's tau, and semantic cover-up recall that capture semantic fidelity, procedural precision, and task completeness. On an industrial dataset, RAFTAR-FM (preference tuned on 12 months of feedback) achieves 0.631 Ordered BERTScore, 0.547 Kendall's Tau, and 0.868 Semantic Coverage Recall, outperforming instruction-only baselines. RAFTAR-FM provides reliable guidance in real-world settings. While evaluated in facilities maintenance, it generalizes to any industry relying on ticket-based issue resolution.</t>
  </si>
  <si>
    <t>P-IEEE-112</t>
  </si>
  <si>
    <t>Earth Action in Transition: Highlights From the 2025 ESA–NASA International Workshop on AI Foundation Models for EO [Space-Agencies]</t>
  </si>
  <si>
    <t>N. Longépé; H. Alemohammad; A. Anghelea; T. Brunschwiler; G. Camps-Valls; G. Cavallaro; J. Chanussot; J. M. Delgado; B. Demir; N. Dionelis; P. Fraccaro; A. Jungbluth; R. E. Kennedy; V. Marsocci; M. Ramasubramanian; R. Ramos-Pollan; S. Roy; G. Sümbül; D. Tuia; X. X. Zhu; R. Ramachandran</t>
  </si>
  <si>
    <t>10.1109/MGRS.2025.3592035</t>
  </si>
  <si>
    <t>https://ieeexplore.ieee.org/stamp/stamp.jsp?arnumber=11303008</t>
  </si>
  <si>
    <t>Over 850 people joined the first International Workshop on AI Foundation Model (FM) for Earth Observation (EO) co-organized by ESA and NASA 5-7 May 2025. Hosted at ESRIN (ESA’s Earth Observation Center, Italy), the event welcomed around 300 people on site, and an additional 550 online, with the promise that FMs can revolutionize EO and Earth sciences. The workshop marked a pivotal moment in aligning the EO and FM communities, fostering a shared commitment to developing open and trustworthy tools that support science discovery, operational applications, and prescriptive analytics. EO data is massive, complex and high dimensional requiring specific yet scalable AI architectures. The workshop emphasized the need for training and architecture enabling interpretability, explainability, and physical consistency. Coordination should be strengthened to minimize redundant development and to better leverage collective expertise. The focus has shifted from prototyping to real-world deployment, with FMs needing further design for integration into digital twins, dashboards, and edge platforms. Transparent benchmarking and user-driven evaluation are key to guiding model development and decision-making. In addition, parameter-efficient adaptation, neural compression, and embedding-based workflows offer promising paths for scaling EO analytics. While FMs show promise, their effectiveness remains context-dependent. The community debated whether to pursue universal models, specialized solutions, or mixtures of experts. The workshop envisioned the future of agentic AI in EO, with multi-agent system powered by EO FMs and vision-language models, that can dynamically reason and act on EO data. This shift from static pipelines to adaptive, smarter systems could redefine the future of EO. This paper summarizes key discussions and concludes with thought-provoking remarks.</t>
  </si>
  <si>
    <t>P-IEEE-113</t>
  </si>
  <si>
    <t>From Large to Small Language Models for Balanced Performance and Benchmarking</t>
  </si>
  <si>
    <t>K. Zahra; Z. U. Nisa; N. J. Shahi; M. A. Saeed; M. Saleem; A. Jamil; A. A. Hameed; S. B. Ahmed; M. Davud</t>
  </si>
  <si>
    <t>10.1109/AIBThings66987.2025.11296175</t>
  </si>
  <si>
    <t>https://ieeexplore.ieee.org/stamp/stamp.jsp?arnumber=11296175</t>
  </si>
  <si>
    <t>Large Language Models (LLMs) have transformed natural language processing, but their significant computational demands and environmental costs raise concerns. This study explores Small Language Models (SLMs) as a sustainable alternative, evaluating their efficiency and performance on the Massive Multitask Language Understanding (MMLU) benchmark. We assess three SLMs: TinyLlama 1.1B, Qwen2 1.5B, and Phi 3 Mini 3.8B, and introduce a novel hierarchical multi-agent system to enhance their capabilities. The findings demonstrate that SLMs achieve competitive baseline accuracy with notably lower computational overhead. Phi 3 Mini, for instance, reaches 69.0% accuracy while using only 7.6 GB of GPU memory, making it highly accessible. The hierarchical multi-agent system further bridges the performance gap with LLMs by providing specialized reasoning agents, tool-use capabilities, and a hierarchical consensus mechanism. This approach delivered substantial accuracy improvements: TinyLlama improved from 24.42% to 35.55%, Qwen2 from 51.44% to 61.39%, and Phi-3-Mini from 67.16% to 76.60%. The multi-agent paradigm offers significant environmental and efficiency benefits by improving models through intelligent composition rather than parameter scaling. This allows SLMs to achieve high performance with a drastically smaller footprint, reducing inference costs and promoting more sustainable AI. Our results support the use of SLMs as a viable and democratized alternative for AI development.</t>
  </si>
  <si>
    <t>P-IEEE-114</t>
  </si>
  <si>
    <t>MobiLLM: An Agentic AI Framework for Closed-Loop Threat Mitigation in 6G Open RANs</t>
  </si>
  <si>
    <t>H. Wen; P. Sharma; V. Yegneswaran; A. Gehani; P. Porras; Z. Lin</t>
  </si>
  <si>
    <t>10.1109/MILCOM64451.2025.11310651</t>
  </si>
  <si>
    <t>https://ieeexplore.ieee.org/stamp/stamp.jsp?arnumber=11310651</t>
  </si>
  <si>
    <t>The evolution toward 6G networks is being accelerated by the Open Radio Access Network (O-RAN) paradigm—an open, interoperable architecture that enables intelligent, modular applications across public telecom and private enterprise domains. While this openness creates unprecedented opportunities for innovation, it also expands the attack surface, demanding resilient, low-cost, and autonomous security solutions. Legacy defenses remain largely reactive, labor-intensive, and inadequate for the scale and complexity of next-generation systems. Current O-RAN applications focus mainly on network optimization or passive threat detection, with limited capability for closed-loop, automated response.To address this critical gap, we present an agentic AI framework for fully automated, end-to-end threat mitigation in 6G O-RAN environments. MobiLLM orchestrates security work-flows through a modular multi-agent system powered by Large Language Models (LLMs). The framework features a Threat Analysis Agent for real-time data triage, a Threat Classification Agent that uses Retrieval-Augmented Generation (RAG) to map anomalies to specific countermeasures, and a Threat Response Agent that safely operationalizes mitigation actions via O-RAN control interfaces. Grounded in trusted knowledge bases such as the MITRE FiGHT framework and 3GPP specifications, and equipped with robust safety guardrails, MobiLLM provides a blueprint for trustworthy AI-driven network security. Initial evaluations demonstrate that MobiLLM can effectively identify and orchestrate complex mitigation strategies, significantly reducing response latency and showcasing the feasibility of autonomous security operations in 6G.</t>
  </si>
  <si>
    <t>P-IEEE-115</t>
  </si>
  <si>
    <t>Trust model simulation for supply chain management</t>
  </si>
  <si>
    <t>S. A. Hossain; Y. Ouzrout</t>
  </si>
  <si>
    <t>10.1109/ICCITechn.2012.6509744</t>
  </si>
  <si>
    <t>https://ieeexplore.ieee.org/stamp/stamp.jsp?arnumber=6509744</t>
  </si>
  <si>
    <t>A supply chain management (SCM) is the management of network having interconnected business nodes which spans all movements of services and goods from the point of origin to the point of consumption through chaining the services within the network. In the context of SCM within PLM, Trust modeling is an important and crucial aspect from the perspective of sustainability of the supply chain and to gain efficient performance in management of product life cycle. In the supply chain, the more we trust, the more we exchange information on demand and on forecast of the last customer so as with the level of stock and on the forecast of the suppliers. In this work, we attempted to model the Trust in SCM for using Agent Modeling Language (AML) and proposed a Multi Agent System (MAS) SCM model of trust in supply chain management. The proposed model is implemented using Java Agent Development Environment (JADE) and the simulation results demonstrated the impact of trust in supply chain along with the evolution of trust.</t>
  </si>
  <si>
    <t>P-IEEE-116</t>
  </si>
  <si>
    <t>AI-Driven Multi-Agent Systems for Automated Regulatory Analysis of Crypto Projects</t>
  </si>
  <si>
    <t>M. Trerotola; D. Calvaresi</t>
  </si>
  <si>
    <t>10.1109/MetroXRAINE66377.2025.11340415</t>
  </si>
  <si>
    <t>https://ieeexplore.ieee.org/stamp/stamp.jsp?arnumber=11340415</t>
  </si>
  <si>
    <t>The rapid expansion of the crypto-asset market is stretching supervisory authorities and institutional investors, and although MiCAR mandates comprehensive disclosures, the sheer volume and heterogeneity of project whitepapers push regulators toward a largely passive, alert-driven form of oversight that leaves little room for timely, preventive intervention. To address this challenge, this article presents an AI -driven multi-agent sys-tem (MAS) that automates Markets in Crypto-Assets Regulation (MiCAR) due diligence by synergizing large language modEIS (LLMs) with specialized software agents. This MAS features a supervisory agent orchestrating specialized peers for evidence retrieval, document normalization, semantic extraction, and rule-based verification, culminating in an auditable compliance report and an associated knowledge graph. Key techniques include retrieval-augmented generation (RAG) for contextualizing legal texts, self-critique prompting to enhance LLM reliability, and containerized microservices for scalable deployment. Evaluated on a diverse corpus of public whitepapers, the system significantly reduces processing latency and expert workload, achieving com-pliance assessment accuracy comparable to human experts for critical MiCAR requirements. Furthermore, the system supports longitudinal monitoring by dynamically incorporating regulatory updates into its rule repository, ensuring ongoing alignment with evolving MiCAR standards. The MAS architecture's transparent division of labor enables fault isolation, parallel processing, and human-in-the-Ioop validation, providing superior robustness and interpretability over conventional monolithic AI modEIS. By translating complex legal obligations into reproducible computational workflows, our approach advances Regulatory Technology (RegTech), offers actionable intelligence to market participants, and fosters a more transparent and accountable digital finance ecosystem. Future work will focus on multilingual capabilities and enhancing adversarial robustness against deceptive disclosures.</t>
  </si>
  <si>
    <t>P-IEEE-117</t>
  </si>
  <si>
    <t>Creating a Modeling Language Based on a New Metamodel for Adaptive Normative Software Agents</t>
  </si>
  <si>
    <t>M. Viana; P. Alencar; E. Guimarães; E. Cirilo; C. Lucena</t>
  </si>
  <si>
    <t>10.1109/ACCESS.2022.3147144</t>
  </si>
  <si>
    <t>https://ieeexplore.ieee.org/stamp/stamp.jsp?arnumber=9694652</t>
  </si>
  <si>
    <t>The demand for creating increasingly dynamic, autonomous and proactive software systems is challenging for the traditional Multi-agent Systems (MASs) approaches. Such requirement has given rise to adaptive software agents approaches. At the same time, norm is an essential and challenging feature that still tends to be addressed in adaptive MAS. In fact, norms to regulate agent behavior is still a vague concept that has not been properly investigated in terms of modeling and implementation. Even though many researchers have proposed modeling languages to deal with different abstractions, these languages fail to support the modeling of abstractions, such as adaptation and norms. Even more severe is the fact that little has been done to support the systematic design of Adaptive Normative Multi-Agent Systems (ANMASs). To facilitate the design and development of ANMASs, this paper presents a new metamodel, as well as language support, as means to provide tools to enable software developers. The proposed metamodel fosters a better understanding of the way agents are able to change their behaviors to deal with norms and captures interactions between agent’s norms and adaptation. To this end, our research is organized into five steps: (i) a literature review to identify the limitations of existing approaches related to ANMAS modeling; (ii) propose a new metamodel to support adaptative and normative concepts; (iii) propose a new language for modeling ANMASs; (iv) perform a qualitative and quantitative evaluation of the proposed language using a real case scenario, and (v) an empirical evaluation. The proposed metamodel and its associated modeling language advances the state of the art in modeling MASs and the approach is assessed in terms of correctness, time and difficulty. Our initial results revealed that our approach can be feasibly applied in a real world application, and is less difficult to apply and requires less time in comparison with a traditional approach. As software applications become more dynamic and adaptive, we believe it is essential to support developers to model MASs with abstractions such as adaptive agents, norms and their relationships. Such information can be foundational to steer future research on modeling adaptive agents capable of understanding and dealing with norms and adaptation.</t>
  </si>
  <si>
    <t>P-IEEE-118</t>
  </si>
  <si>
    <t>A Large-Scale Study on the Development and Issues of Multi-Agent AI Systems</t>
  </si>
  <si>
    <t>D. Liu; K. Upadhyay; V. Chhetri; A. B. Siddique; U. Farooq</t>
  </si>
  <si>
    <t>10.1109/BigData66926.2025.11402104</t>
  </si>
  <si>
    <t>https://ieeexplore.ieee.org/stamp/stamp.jsp?arnumber=11402104</t>
  </si>
  <si>
    <t>The rapid emergence of multi-agent AI systems (MAS), including LangChain, CrewAI, and AutoGen, has shaped how large language model (LLM) applications are developed and orchestrated. However, little is known about how these systems evolve and are maintained in practice. This paper presents the first large-scale empirical study of open-source MAS, analyzing over 42 K unique commits and over 4.7 K resolved issues across eight leading systems. Our analysis identifies three distinct development profiles: sustained, steady, and burst-driven. These profiles reflect substantial variation in ecosystem maturity. Perfective commits constitute 40.8 % of all changes, suggesting that feature enhancement is prioritized over corrective maintenance (27.4 %) and adaptive updates (24.3 %). Data about issues shows that the most frequent concerns involve bugs $(22 \%)$, infrastructure (14 %), and agent coordination challenges (10 %). Issue reporting also increased sharply across all frameworks starting in 2023. Median resolution times range from under one day to about two weeks, with distributions skewed toward fast responses but a minority of issues requiring extended attention. These results highlight both the momentum and the fragility of the current ecosystem, emphasizing the need for improved testing infrastructure, documentation quality, and maintenance practices to ensure long-term reliability and sustainability.</t>
  </si>
  <si>
    <t>P-IEEE-119</t>
  </si>
  <si>
    <t>EDA-in-the-Loop: Automated HDL Code Generation and Verification Using Multi-Agent LLMs</t>
  </si>
  <si>
    <t>X. Wang; K. Hu; Z. Xuan; X. Shi; Y. Liu</t>
  </si>
  <si>
    <t>10.1109/AIHCIR67580.2025.11404766</t>
  </si>
  <si>
    <t>https://ieeexplore.ieee.org/stamp/stamp.jsp?arnumber=11404766</t>
  </si>
  <si>
    <t>Traditional digital IC flows suffer from brittle specto-RTL translation, verification that must iterate inside EDA tools, and weak support for role specialization at scale. We integrate an AutoGen-based multi-agent system with Vivado in the loop: a requirement-analysis agent produces machine-readable specs; a fine-tuned Verilog model generates synthesizable RTL; a general-purpose LLM writes the testbench; a Python/TCL runner executes Vivado; a log-guided debug agent localizes errors and applies minimal patches until tests pass. Across four user cases (4-bit counter, VGA controller, AES core, JPEG-LS encoder), the system automates RTL + testbench generation and verification, achieving 3 exchanges to finalize specs, 65% first-attempt RTL pass, 94% first-attempt testbench pass, 2.4× execution speed-up via TCL automation, and 91.5% log-guided correction rate, with few repair iterations to convergence. By placing the EDA tool at the center of the loop and coordinating multi-agent, hybrid-model roles, the framework reduces development time and manual effort while improving reliability, offering a practical path to scalable, production-oriented RTL automation.</t>
  </si>
  <si>
    <t>P-IEEE-120</t>
  </si>
  <si>
    <t>Programming Role Enactment through Reflection</t>
  </si>
  <si>
    <t>M. B. van Riemsdijk; V. Dignum; C. M. Jonker; H. Aldewereld</t>
  </si>
  <si>
    <t>10.1109/WI-IAT.2011.205</t>
  </si>
  <si>
    <t>https://ieeexplore.ieee.org/stamp/stamp.jsp?arnumber=6040766</t>
  </si>
  <si>
    <t>Organizational modeling languages are used to specify an agent organization in terms of its roles, organizational structure, norms, etc. Agents take part in organizations by playing one or more of the specified roles. Using such an organizational specification to organize a multi-agent system can support agents' effectiveness in attaining their purpose, or prevent certain undesired behavior from occurring. In this paper, we investigate the process of role enactment in organizations that have a so-called gatekeeper that is responsible for admitting agents to the organization, like the well-known OperA organizational modelling language. We propose an interaction protocol between gatekeeper and agents that want to play roles, resulting in admittance of agents to the organization (or rejection). We analyze which kinds of reasoning are needed for agents to participate in this protocol. In particular, agents need to be able to reason about whether they have the necessary capabilities to play a role in an organization. We make precise what it means to have a capability and propose to integrate reasoning about capabilities in agent programming languages using reflection. We show how this kind of reflection about capabilities can be used to program role enactment in the GOAL agent programming language.</t>
  </si>
  <si>
    <t>ACM - Estudos Primários</t>
  </si>
  <si>
    <t>P-ACM-001</t>
  </si>
  <si>
    <t>Large Language Model-Based Agents for Software Engineering: A Survey</t>
  </si>
  <si>
    <t>Liu, Junwei; Wang, Kaixin; Chen, Yixuan; Peng, Xin; Chen, Zhenpeng; Zhang, Lingming; Lou, Yiling</t>
  </si>
  <si>
    <t>ACM Digital Library</t>
  </si>
  <si>
    <t>10.1145/3796507</t>
  </si>
  <si>
    <t>https://doi.org/10.1145/3796507</t>
  </si>
  <si>
    <t>The recent advance in Large Language Models (LLMs) has shaped a new paradigm of AI agents, i.e., LLM-based agents. Compared to standalone LLMs, LLM-based agents substantially extend the versatility and expertise of LLMs by enhancing LLMs with the capabilities of perceiving and utilizing external resources and tools. To date, LLM-based agents have been applied and shown remarkable effectiveness in Software Engineering (SE). The synergy between multiple agents and human interaction brings further promise in tackling complex real-world SE problems. In this work, we present a comprehensive and systematic survey on LLM-based agents for SE. We collect 124 papers and categorize them from two perspectives, i.e., the SE and agent perspectives. In addition, we discuss open challenges and future directions in this critical domain. The repository of this survey is at .</t>
  </si>
  <si>
    <t>P-ACM-002</t>
  </si>
  <si>
    <t>A Survey on the Memory Mechanism of Large Language Model-based Agents</t>
  </si>
  <si>
    <t>Zhang, Zeyu; Dai, Quanyu; Bo, Xiaohe; Ma, Chen; Li, Rui; Chen, Xu; Zhu, Jieming; Dong, Zhenhua; Wen, Ji-Rong</t>
  </si>
  <si>
    <t>10.1145/3748302</t>
  </si>
  <si>
    <t>https://doi.org/10.1145/3748302</t>
  </si>
  <si>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t>
  </si>
  <si>
    <t>P-ACM-003</t>
  </si>
  <si>
    <t>A Survey on the Optimization of Large Language Model-based Agents</t>
  </si>
  <si>
    <t>Du, Shangheng; Zhao, Jiabao; Shi, Jinxin; Xie, Zhentao; Jiang, Xin; Bai, Yanhong; He, Liang</t>
  </si>
  <si>
    <t>10.1145/3789261</t>
  </si>
  <si>
    <t>https://doi.org/10.1145/3789261</t>
  </si>
  <si>
    <t>With the rapid development of Large Language Models (LLMs), LLM-based agents have been widely adopted in various fields, becoming essential for autonomous decision-making and interactive tasks. However, current work typically relies on prompt design or fine-tuning strategies applied to vanilla LLMs, which often leads to limited effectiveness in complex agent-related environments. Although numerous recent studies have explored various strategies to optimize LLM-based agents for complex agent tasks, a systematic review summarizing and comparing these methods from a holistic perspective remains lacking. In this survey, we provide a comprehensive review of LLM-based agent optimization approaches, categorizing them into parameter-driven and parameter-free methods. We first focus on parameter-driven optimization, covering fine-tuning-based optimization, reinforcement learning-based optimization, and hybrid strategies, analyzing key aspects such as trajectory data construction, reward function design, and optimization algorithms. Additionally, we briefly discuss parameter-free strategies that optimize agent behavior through prompt engineering and external knowledge retrieval. Finally, we summarize the evaluation for agents, review key applications of LLM-based agents, and discuss the major challenges and promising future directions. A curated collection of the surveyed works is provided at https://github.com/YoungDubbyDu/LLM-Agent-Optimization.</t>
  </si>
  <si>
    <t>P-ACM-004</t>
  </si>
  <si>
    <t>ModelGen: Automating Semiconductor Parameter Extraction with Large Language Model Agents</t>
  </si>
  <si>
    <t>Wei, Yangbo; Huang, Li; Feng, Qi; Chen, Zhanfei; Yan, Jinlong; Lin, Ting-Jung; Huang, Zhen; Ren, Kun; Xing, Wei; He, Lei</t>
  </si>
  <si>
    <t>10.1145/3736165</t>
  </si>
  <si>
    <t>https://doi.org/10.1145/3736165</t>
  </si>
  <si>
    <t>Device models require large numbers of parameters to characterize complex physical effects. Although the latest advancements in machine learning and automated tools have drastically improved efficiency over the classic methods, they still demand a considerable amount of human intervention in the loop to gain accuracy. This drastically limits further automation. Inspired by the success of Multimodal Large Language Models (MLLMs) in addressing tasks across diverse fields, we propose ModelGen, the first in-depth study to leverage MLLMs with RAG (Retrieval-Augmented Generation) to significantly reduce human effort in parameter extraction for compact model. Our contributions include (1) Automated Agentic Workflow Construction that learns to build and refine extraction workflows through iterative optimization, (2) MLLM Judge, a visual scoring mechanism that evaluates fitting quality using actual device characteristic plots rather than simple numerical metrics, and (3) Model-specific RAG for providing relevant domain knowledge during the extraction process. Experimental results demonstrate that ModelGen achieves a 26.8%–33.1% improvement in pass@1,3,5 compared to base LLM methods. The system completes complex model extractions for BSIMs and ASM-HEMT in hours (up to 168\texttimes{} faster) rather than days or weeks, making parameter extraction more accessible to non-experts while maintaining professional engineer-level accuracy.</t>
  </si>
  <si>
    <t>P-ACM-005</t>
  </si>
  <si>
    <t>MetaAgents: Large Language Model Based Agents for Decision-Making on Teaming</t>
  </si>
  <si>
    <t>Li, Yuan; Sun, Lichao; Zhang, Yixuan</t>
  </si>
  <si>
    <t>10.1145/3711032</t>
  </si>
  <si>
    <t>https://doi.org/10.1145/3711032</t>
  </si>
  <si>
    <t>Significant advancements have occurred in the application of Large Language Models (LLMs) for social simulations. Despite this, their abilities to perform teaming in task-oriented social events are underexplored. Such capabilities are crucial if LLMs are to effectively mimic human-like social behaviors and form efficient teams to solve tasks. To bridge this gap, we introduce MetaAgents, a social simulation framework populated with LLM-based agents. MetaAgents facilitates agent engagement in conversations and a series of decision making within social contexts, serving as an appropriate platform for investigating interactions and interpersonal decision-making of agents. In particular, we construct a job fair environment as a case study to scrutinize the team assembly and skill-matching behaviors of LLM-based agents. We take advantage of both quantitative metrics evaluation and qualitative text analysis to assess their teaming abilities at the job fair. Our evaluation demonstrates that LLM-based agents perform competently in making rational decisions to develop efficient teams. However, we also identify limitations that hinder their effectiveness in more complex team assembly tasks. Our work provides valuable insights into the role and evolution of LLMs in task-oriented social simulations.</t>
  </si>
  <si>
    <t>P-ACM-006</t>
  </si>
  <si>
    <t>Using LLMs in Generating Design Rationale for Software Architecture Decisions</t>
  </si>
  <si>
    <t>Zhou, Xiyu; Li, Ruiyin; Liang, Peng; Zhang, Beiqi; Shahin, Mojtaba; Li, Zengyang; Yang, Chen</t>
  </si>
  <si>
    <t>10.1145/3785010</t>
  </si>
  <si>
    <t>https://doi.org/10.1145/3785010</t>
  </si>
  <si>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</si>
  <si>
    <t>P-ACM-007</t>
  </si>
  <si>
    <t>Integrating Various Software Artifacts for Better LLM-based Bug Localization and Program Repair</t>
  </si>
  <si>
    <t>Feng, Qiong; Ma, Xiaotian; Sheng, Jiayi; Feng, Ziyuan; Song, Wei; Liang, Peng</t>
  </si>
  <si>
    <t>10.1145/3770581</t>
  </si>
  <si>
    <t>https://doi.org/10.1145/3770581</t>
  </si>
  <si>
    <t>LLMs have garnered considerable attention for their potential to streamline Automated Program Repair (APR). LLM-based approaches can either insert the correct code using an infilling-style technique or directly generate patches when provided with buggy methods, aiming for plausible patches to pass all tests. However, most of LLM-based APR methods rely on a single type of software information, such as issue descriptions or error stack traces, without fully leveraging a combination of diverse software artifacts. Human developers, in contrast, often use a range of information — such as debugging data, issue discussions, and error stack traces — to diagnose and fix bugs. Despite this, many LLM-based approaches do not explore which specific types of software information best assist in localizing and repairing software bugs. Addressing this gap is crucial for advancing LLM-based APR techniques.To investigate this and mimic the way human developers fix bugs, we propose DEVLoRe (short for DEVeloper Localization and Repair). In this framework, LLMs first use issue content (description and discussion) and stack error traces to localize buggy methods, then rely on debug information in buggy methods and issue content and stack error to localize buggy lines and generate valid patches. We evaluated the effectiveness of issue content, error stack traces, and debugging information in bug localization and automatic program repair. Our results show that while issue content and error stack is particularly effective in assisting LLMs with fault localization and program repair respectively, different types of software artifacts complement each other in addressing various bugs. By incorporating these three types of artifacts and using the Defects4J v2.0 dataset for evaluation, DEVLoRe successfully localizes 49.3% of single-method bugs and generates 56.0% plausible patches. Additionally, DEVLoRe can localize 47.6% of non-single-method bugs and generates 14.5% plausible patches. Moreover, our framework streamlines the end-to-end process from buggy source code to a complete repair, and achieves a 39.7% and 17.1% of single-method and non-single-method bug repair rate, outperforming current state-of-the-art APR methods. Furthermore, we re-implemented and evaluated our framework, demonstrating its effectiveness in resolving 9 unique issues compared to other state-of-the-art frameworks using the same or more advanced models on SWE-bench Lite. We also discussed whether a leading framework for Python code can be directly applied to Java code, or vice versa. The source code and experimental results of this work for replication are available at .</t>
  </si>
  <si>
    <t>P-ACM-008</t>
  </si>
  <si>
    <t>LLMs May Not Be Human-Level Players, But They Can Be Testers: Measuring Game Difficulty with LLM Agents</t>
  </si>
  <si>
    <t>Xiao, Chang; Yang, Zixiaofan</t>
  </si>
  <si>
    <t>10.1145/3748634</t>
  </si>
  <si>
    <t>https://doi.org/10.1145/3748634</t>
  </si>
  <si>
    <t>Recent advances in Large Language Models (LLMs) have demonstrated their potential as autonomous agents across various tasks. One emerging application is the use of LLMs in playing games. In this work, we explore a practical problem for the gaming industry: Can LLMs be used to measure game difficulty? We evaluate the feasibility of using LLM agents to test game difficulty, focusing on two widely played games: Wordle and Slay the Spire. Our results reveal an interesting finding: although LLMs may not perform as well as the average human player, their performance, when guided by simple, generic prompting techniques, shows a statistically significant and strong correlation with difficulty indicated by human players. This suggests that LLMs could potentially serve as human-like agents for measuring game difficulty during the development process, as their assessments may align closely with those of human players. Based on our experiments, we also propose general principles and guidelines for integrating LLMs into the game testing workflow.</t>
  </si>
  <si>
    <t>P-ACM-009</t>
  </si>
  <si>
    <t>Extended Reality Cybersickness Assessment via User Review Analysis</t>
  </si>
  <si>
    <t>Li, Shuqing; Zheng, Qisheng; Gao, Cuiyun; Feng, Jia; Lyu, Michael R.</t>
  </si>
  <si>
    <t>10.1145/3728933</t>
  </si>
  <si>
    <t>https://doi.org/10.1145/3728933</t>
  </si>
  <si>
    <t>In recent years, the extended reality (XR) software ecosystem has emerged as the next ubiquitous computing platform, as they provide users with immersive interactive experiences. However, XR ecosystem suffers from cybersickness problems, which would greatly affect user comfort and safety, leading to symptoms like headaches, disorientation, etc. That makes effective cybersickness assessment a timely and important question. The state-of-the-art methods of assessing the cybersickness of XR software typically monitor the biological metrics of users, during XR usage, which rely heavily on manual playtesting,sufferring from limited scalability issue. User reviews on XR app stores are informative for developers to learn the cybersickness ratings of their apps and the reasons behind. Nevertheless, the large number of user reviews can hardly be analyzed by developers manually, and most current automatic user review analysis methods can only provide coarse-grained or abstract results, such as extracting several high-level key topic groups discussed by reviews. Recent advancements in LLMs may bring new opportunities. However, directly leveraging LLMs for evaluating XR cybersickness is challenging because LLMs perform poorly on a large number of short texts, and their context window is limited. To address these challenges, we introduce XRCare, a comprehensive framework designed to automate the assessment of cybersickness and root cause reasoning for XR apps by resorting to fine-grained user review analysis. XRCare mainly includes three phases: (1) Insight pool construction, when XRCare collects the cybersickness analyzing chains and corresponding analyzing results from domain experts; (2) Reasoning graph construction, when XRCare dynamically extracts, categorizes, and maintains the reasons from user reviews that make users feel cybersickness on a self-evolving hierarchical graph; and (3) Multi-agent deductive cybersickness reasoning, which utilizes a multi-agent system to simulate diverse user demographics for analyzing and rating the intensity of cybersickness, as well as the causes of cybersickness. This structured approach allows XRCare to systematically identify, categorize, and address instances of cybersickness. For experiments, we construct a large-scale dataset consisting of 685,111 user reviews from 9,667 XR apps. Our evaluation shows that XRCare enhances the F1-score by 20.63% over the best-performing baseline and by 32.27% on average across all baselines, while also offering more accurate and detailed interpretability insights.</t>
  </si>
  <si>
    <t>P-ACM-010</t>
  </si>
  <si>
    <t>Large Language Models for Cyber Security: A Systematic Literature Review</t>
  </si>
  <si>
    <t>Xu, Hanxiang; Wang, Shenao; Li, Ningke; Wang, Kailong; Zhao, Yanjie; Chen, Kai; Yu, Ting; Liu, Yang; Wang, Haoyu</t>
  </si>
  <si>
    <t>10.1145/3769676</t>
  </si>
  <si>
    <t>https://doi.org/10.1145/3769676</t>
  </si>
  <si>
    <t>The rapid advancement of Large Language Models (LLMs) has opened up new opportunities for leveraging artificial intelligence in a variety of application domains, including cybersecurity. As the volume and sophistication of cyber threats continue to grow, there is an increasing need for intelligent systems that can automatically detect vulnerabilities, analyze malware, and respond to attacks. In this survey, we conduct a comprehensive review of the literature on the application of LLMs in cybersecurity (LLM4Security). By comprehensively collecting over 40K relevant papers and systematically analyzing 185 papers from top security and software engineering venues, we aim to provide a holistic view of how LLMs are being used to solve diverse problems across the cybersecurity domain.Through our analysis, we identify several key findings. First, we observe that LLMs are being applied to an expanding range of cybersecurity tasks, including vulnerability detection, malware analysis, and network intrusion detection. Second, we analyze application trends of different LLM architectures (such as encoder-only, encoder-decoder, and decoder-only) across security domains. Third, we identify increasingly sophisticated techniques for adapting LLMs to cybersecurity, such as advanced fine-tuning, prompt engineering, and external augmentation strategies. A significant emerging trend is the use of LLM-based autonomous agents, which represent a paradigm shift from single-task execution to orchestrating complex, multi-step security workflows. Furthermore, we find that the datasets used for training and evaluating LLMs are often limited, highlighting the need for more comprehensive datasets and the use of LLMs for data augmentation. Finally, we discuss the main challenges and opportunities for future research, including the need for more interpretable models, addressing the inherent security risks of LLMs, and their potential for proactive defense.Overall, our survey provides a comprehensive overview of the current state-of-the-art in LLM4Security and identifies several promising directions for future research. We believe that the insights and findings presented in this survey will contribute to the growing body of knowledge on the application of LLMs in cybersecurity and provide valuable guidance for researchers and practitioners working in this field.</t>
  </si>
  <si>
    <t>P-ACM-011</t>
  </si>
  <si>
    <t>Large Language Models for EDA: Future or Mirage?</t>
  </si>
  <si>
    <t>He, Zhuolun; Pu, Yuan; Wu, Haoyuan; Qiu, Tairu; Yu, Bei</t>
  </si>
  <si>
    <t>10.1145/3736167</t>
  </si>
  <si>
    <t>https://doi.org/10.1145/3736167</t>
  </si>
  <si>
    <t>In this article, we explore the burgeoning intersection of large language models (LLMs) and electronic design automation (EDA). We critically assess whether LLMs represent a transformative future for EDA or merely a fleeting mirage. By organizing existing research into four critical domains of EDA—code generation, verification and debugging, knowledge representation and retrieval, and optimization/modeling—we provide a comprehensive overview of the current state-of-the-art. The survey concludes with a 5-level roadmap to guide the progressive integration and advancement of LLMs in EDA. Ultimately, this article aims to provide a comprehensive, evidence-based perspective on the role of LLMs in shaping the future of EDA.</t>
  </si>
  <si>
    <t>P-ACM-012</t>
  </si>
  <si>
    <t>cGenEDA: Code-Generation for Electronic Design Optimization</t>
  </si>
  <si>
    <t>Tremuel, Philipp; Benites, Fernando; W\"{u}rsch, Christoph; H\"{u}gel, Ulf; Wolf, Florian; B\"{u}chel, Andreas; Gavves, Efstratios</t>
  </si>
  <si>
    <t>10.1145/3800953</t>
  </si>
  <si>
    <t>https://doi.org/10.1145/3800953</t>
  </si>
  <si>
    <t>Addressing inverse design problems in engineering generally requires managing complex challenges. Traditionally, such systems are optimized by manually setting up a model in a numerical simulation software and applying parameter optimization. Topology changes and variable parameter sets result in challenging mixed-integer optimization problems. Such problems are hard to solve automatically; that’s why they normally need to be initialized manually with high effort by the design engineer. Generative probabilistic models, like Large Language Models (LLMs), can efficiently produce diverse, valid design concepts that are fully parameterizable, simulatable, and optimizable. We introduce cGenEDA, a Co-Pilot—a system based on multiple LLM agents using in-context prompting to coordinate these tasks, providing a seamless, adaptable toolchain for automated design generation, optimization problem definition, and design automation. Our approach demonstrates that long, interacting simulation model code sequences can be generated accurately and directly used as model input for domain-specific simulators for precise forward simulations. Simultaneously, cGenEDA will set up the optimization problem, combine it with well-known, black-box optimization algorithms, and efficiently solve inverse design problems.</t>
  </si>
  <si>
    <t>P-ACM-013</t>
  </si>
  <si>
    <t>Fundamental Capabilities and Applications of Large Language Models: A Survey</t>
  </si>
  <si>
    <t>Li, Jiawei; Gao, Yang; Yang, Yizhe; Bai, Yu; Zhou, Xiaofeng; Li, Yinghao; Sun, Huashan; Liu, Yuhang; Si, Xingpeng; Ye, Yuhao; Wu, Yixiao; Lin, Yiguan; Xu, Bin; Ren, Bowen; Feng, Chong; Huang, Heyan</t>
  </si>
  <si>
    <t>10.1145/3735632</t>
  </si>
  <si>
    <t>https://doi.org/10.1145/3735632</t>
  </si>
  <si>
    <t>Large Language Models (LLMs) have demonstrated remarkable effectiveness across various domain-specific applications. However, which fundamental capabilities most contribute to their success in different domains remains unclear. This uncertainty complicates LLM evaluation, as existing benchmark-based assessments often fail to capture their real-world performance, where the required capabilities may differ from those measured in the benchmarks. In this survey, we provide a systematic introduction to LLMs’ fundamental capabilities, encompassing their definitions, formation mechanisms, and practical applications. We further explore the relationships among these capabilities and discuss how they collectively support complex problem-solving in domain-specific applications. Building on this foundation, we review recent advances in LLM-driven applications across nine specific domains: medicine, law, computational biology, finance, social sciences and psychology, computer programming and software engineering, robots and agents, AI for disciplines, and creative work. We analyze how specific capabilities are leveraged for each domain to address unique requirements. This perspective enables us to establish connections between these capabilities and domain requirements, and to evaluate the varying importance of different capabilities across different domains. Based on these insights, we propose evaluation strategies tailored to the essential capabilities required in each domain, offering practical guidance for selecting suitable backbone LLMs in real-world applications.</t>
  </si>
  <si>
    <t>P-ACM-014</t>
  </si>
  <si>
    <t>The Emerged Security and Privacy of LLM Agent: A Survey with Case Studies</t>
  </si>
  <si>
    <t>He, Feng; Zhu, Tianqing; Ye, Dayong; Liu, Bo; Zhou, Wanlei; Yu, Philip S.</t>
  </si>
  <si>
    <t>10.1145/3773080</t>
  </si>
  <si>
    <t>https://doi.org/10.1145/3773080</t>
  </si>
  <si>
    <t>Inspired by the rapid development of Large Language Models (LLMs), LLM agents have evolved to perform complex tasks. LLM agents are now extensively applied across various domains, handling vast amounts of data to interact with humans and execute tasks. The widespread applications of LLM agents demonstrate their significant commercial value; however, they also expose security and privacy vulnerabilities. At the current stage, comprehensive research on the security and privacy of LLM agents is highly needed. This survey aims to provide a comprehensive overview of the newly emerged privacy and security issues faced by LLM agents. We begin by introducing the fundamental knowledge of LLM agents, followed by a categorization and analysis of the threats. We then discuss the impacts of these threats on humans, environment, and other agents. Subsequently, we review existing defensive strategies, and finally explore future trends. Additionally, the survey incorporates diverse case studies to facilitate a more accessible understanding. By highlighting these critical security and privacy issues, the survey seeks to stimulate future research towards enhancing the security and privacy of LLM agents, thereby increasing their reliability and trustworthiness in future applications.</t>
  </si>
  <si>
    <t>P-ACM-015</t>
  </si>
  <si>
    <t>LLM-Based Multi-Agent Systems for Software Engineering: Literature Review, Vision, and the Road Ahead</t>
  </si>
  <si>
    <t>He, Junda; Treude, Christoph; Lo, David</t>
  </si>
  <si>
    <t>10.1145/3712003</t>
  </si>
  <si>
    <t>https://doi.org/10.1145/3712003</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</si>
  <si>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</si>
  <si>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P-ACM-016</t>
  </si>
  <si>
    <t>Agent-OM: Leveraging LLM Agents for Ontology Matching</t>
  </si>
  <si>
    <t>Qiang, Zhangcheng; Wang, Weiqing; Taylor, Kerry</t>
  </si>
  <si>
    <t>10.14778/3712221.3712222</t>
  </si>
  <si>
    <t>https://doi.org/10.14778/3712221.3712222</t>
  </si>
  <si>
    <t>Ontology matching (OM) enables semantic interoperability between different ontologies and resolves their conceptual heterogeneity by aligning related entities. OM systems currently have two prevailing design paradigms: conventional knowledge-based expert systems and newer machine learning-based predictive systems. While large language models (LLMs) and LLM agents have revolutionised data engineering and have been applied creatively in many domains, their potential for OM remains underexplored. This study introduces a novel agent-powered LLM-based design paradigm for OM systems. With consideration of several specific challenges in leveraging LLM agents for OM, we propose a generic framework, namely Agent-OM (Agent for Ontology Matching), consisting of two Siamese agents for retrieval and matching, with a set of OM tools. Our framework is implemented in a proof-of-concept system. Evaluations of three Ontology Alignment Evaluation Initiative (OAEI) tracks over state-of-the-art OM systems show that our system can achieve results very close to the long-standing best performance on simple OM tasks and can significantly improve the performance on complex and few-shot OM tasks.</t>
  </si>
  <si>
    <t>P-ACM-017</t>
  </si>
  <si>
    <t>AMQuestioner: Training Critical Thinking with Question-Driven Interactive Argument Maps in Online Discussion</t>
  </si>
  <si>
    <t>Pan, Qiyu; Zeng, Jianqiao; Wang, Jie; Liu, Junyu; Qiu, Yihan; Yuan, Kangyu; Peng, Zhenhui</t>
  </si>
  <si>
    <t>10.1145/3757551</t>
  </si>
  <si>
    <t>https://doi.org/10.1145/3757551</t>
  </si>
  <si>
    <t>Critical thinking, which requires logical analyses on the problems and keeping open-minded to others' viewpoints, is a crucial skill when participating in online discussions. While existing works have explored visualizing the components of an argument in a map, i.e., argument map, to support critical thinking tasks, few of them have incorporated educational elements that aim at training critical thinking in online discussion. In this paper, based on a formative study (N = 57), we develop AMQuestioner, a critical thinking training tool that allows question-driven interactions with argument maps automatically extracted from a post thread. In AMQuestioner, users can explore others' claims with a chatbot via suggested questions and conduct critical thinking exercises by answering generated questions related to any claim in the map. A mixed-design study (N=24) reveals that, compared to a baseline tool without question-driven features, participants after training with AMQuestioner demonstrated significantly more improvements in independently writing arguments that are detailed, specific, and relevant to the topic. Participants with AMQuestioner also exhibited a stronger inclination toward open-mindedness to others' arguments during the three-days training process. We discuss design implications for future critical thinking training tools.</t>
  </si>
  <si>
    <t>P-ACM-018</t>
  </si>
  <si>
    <t>Generative AI for Self-Adaptive Systems: State of the Art and Research Roadmap</t>
  </si>
  <si>
    <t>Li, Jialong; Zhang, Mingyue; Li, Nianyu; Weyns, Danny; Jin, Zhi; Tei, Kenji</t>
  </si>
  <si>
    <t>10.1145/3686803</t>
  </si>
  <si>
    <t>https://doi.org/10.1145/3686803</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</si>
  <si>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t>
  </si>
  <si>
    <t>P-ACM-019</t>
  </si>
  <si>
    <t>Using Nonverbal Cues in Empathic Multi-Modal LLM-Driven Chatbots for Mental Health Support</t>
  </si>
  <si>
    <t>Schmidmaier, Matthias; Rupp, Jonathan; Harrich, Cedrik; Mayer, Sven</t>
  </si>
  <si>
    <t>10.1145/3743724</t>
  </si>
  <si>
    <t>https://doi.org/10.1145/3743724</t>
  </si>
  <si>
    <t>Despite their popularity in providing digital mental health support, mobile conversational agents primarily rely on verbal input, which limits their ability to respond to emotional expressions. We therefore envision using the sensory equipment of today’s devices to increase the nonverbal, empathic capabilities of chatbots. We initially validated that multi-modal LLMs (MLLM) can infer emotional expressions from facial expressions with high accuracy. In a user study (N=200), we then investigated the effects of such multi-modal input on response generation and perceived system empathy in emotional support scenarios. We found significant effects on cognitive and affective dimensions of linguistic expression in system responses, yet no significant increases in perceived empathy. Our research demonstrates the general potential of using nonverbal context to adapt LLM response behavior, providing input for future research on augmented interaction in empathic MLLM-based systems.</t>
  </si>
  <si>
    <t>RQ6</t>
  </si>
  <si>
    <t>P-ACM-020</t>
  </si>
  <si>
    <t>Map as a By-product: Collective Landmark Mapping from IMU Data and User-provided Texts in Situated Tasks</t>
  </si>
  <si>
    <t>Yonetani, Ryo; Hara, Kotaro</t>
  </si>
  <si>
    <t>10.1145/3749455</t>
  </si>
  <si>
    <t>https://doi.org/10.1145/3749455</t>
  </si>
  <si>
    <t>This paper presents Collective Landmark Mapper, a novel map-as-a-by-product system for generating semantic landmark maps of indoor environments. Consider users engaged in situated tasks that require them to navigate these environments and regularly take notes on their smartphones. Collective Landmark Mapper exploits the smartphone's IMU data and the user's free text input during these tasks to identify a set of landmarks encountered by the user. The identified landmarks are then aggregated across multiple users to generate a unified map representing the positions and semantic information of all landmarks. In developing the proposed system, we focused specifically on retail applications and conducted a formative interview with stakeholders to confirm their practical needs that motivate the map-as-a-byproduct approach. Our user study demonstrates the feasibility of the proposed system and its superior mapping performance in two different setups: creating a product availability map from restocking checklist tasks at a retail store and constructing a room usage map from office inspection tasks, further demonstrating the potential applicability to non-retail applications.</t>
  </si>
  <si>
    <t>P-ACM-021</t>
  </si>
  <si>
    <t>Automated Soap Opera Testing Directed by LLMs and Scenario Knowledge: Feasibility, Challenges, and Road Ahead</t>
  </si>
  <si>
    <t>Su, Yanqi; Xing, Zhenchang; Wang, Chong; Chen, Chunyang; Xu, Sherry (Xiwei); Lu, Qinghua; Zhu, Liming</t>
  </si>
  <si>
    <t>10.1145/3715752</t>
  </si>
  <si>
    <t>https://doi.org/10.1145/3715752</t>
  </si>
  <si>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</si>
  <si>
    <t>RQ1; RQ5; RQ6</t>
  </si>
  <si>
    <t>P-ACM-022</t>
  </si>
  <si>
    <t>SagaLLM: Context Management, Validation, and Transaction Guarantees for Multi-Agent LLM Planning</t>
  </si>
  <si>
    <t>Chang, Edward Y.; Geng, Longling</t>
  </si>
  <si>
    <t>10.14778/3750601.3750611</t>
  </si>
  <si>
    <t>https://doi.org/10.14778/3750601.3750611</t>
  </si>
  <si>
    <t>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uncertainty—establishing a robust foundation for real-world, scalable LLM-based multi-agent systems.</t>
  </si>
  <si>
    <t>P-ACM-023</t>
  </si>
  <si>
    <t>AutoSilicon: Scaling Up RTL Design Generation Capability of Large Language Models</t>
  </si>
  <si>
    <t>Li, Cangyuan; Chen, Chujie; Pan, Yudong; Xu, Wenjun; Liu, Yiqi; Chang, Kaiyan; Wang, Yujie; Wang, Mengdi; Li, Huawei; Han, Yinhe; Wang, Ying</t>
  </si>
  <si>
    <t>10.1145/3737286</t>
  </si>
  <si>
    <t>https://doi.org/10.1145/3737286</t>
  </si>
  <si>
    <t>Hardware description language (HDL) code designing is a critical component of the chip design process, requiring substantial engineering and time resources. Recent advancements in large language models (LLMs), such as GPT series, have shown promise in automating HDL code generation. However, current LLM-based approaches face significant challenges in meeting real-world hardware design requirements, particularly in handling complex designs and ensuring code correctness. Our evaluations reveal that the functional correctness rate of LLM-generated HDL code significantly decreases as design complexity increases. In this article, we propose the AutoSilicon framework, which aims to scale up the hardware design capability of LLMs. AutoSilicon incorporates an agent system, which (1) allows for the decomposition of large-scale, complex code design tasks into smaller, simpler tasks; (2) provides a compilation and simulation environment that enables LLMs to compile and test each piece of code it generates; and (3) introduces a series of optimization strategies. Experimental results demonstrate that AutoSilicon can scale hardware designs to projects with code equivalent to over 10,000 tokens. In terms of design quality, it further improves the syntax correctness rate and functional correctness rate compared with approaches that do not employ any extensions. For example, compared to directly generating HDL code using GPT-4-turbo, AutoSilicon enhances the syntax correctness rate by an average of 35.8% and improves functional correctness by an average of 35.6%.</t>
  </si>
  <si>
    <t>P-ACM-024</t>
  </si>
  <si>
    <t>A Multi-Agent RAG Framework for Regulatory Compliance Checking of Software Requirements</t>
  </si>
  <si>
    <t>Das, Souvick; Deb, Novarun; Chaki, Nabendu; Cortesi, Agostino</t>
  </si>
  <si>
    <t>10.1145/3785472</t>
  </si>
  <si>
    <t>https://doi.org/10.1145/3785472</t>
  </si>
  <si>
    <t>Ensuring compliance with regulations poses considerable challenges for software development, particularly during the requirements specification phase. Traditional methods rely heavily on manual inspections that are time-consuming, and prone to errors. This research proposes an innovative framework that leverages the synergy of multiple AI agents to automate software requirement compliance verification partially. The framework integrates Large Language Models (LLMs), prompt engineering, and Retrieval-Augmented Generation (RAG) to analyze, detect, and revise non-compliant requirements. The core of our proposal lies in multi-agent communication, where distinct AI agents collaborate to achieve the overarching goal of compliance checking. LLMs comprehend requirements specifications, while prompt engineering guides LLMs towards compliance-related aspects. The RAG techniques detect non-compliant requirements and suggest changes. Finally, a robust Human-in-the-Loop mechanism ensures accuracy, reliability, and adaptability. A tool, available online, is implemented to translate the technology for effective application. We discuss its ability to identify non-compliant requirements in an extensive experimental evaluation.</t>
  </si>
  <si>
    <t>P-ACM-025</t>
  </si>
  <si>
    <t>Can LLMs Hack Enterprise Networks? Autonomous Assumed Breach Penetration-Testing Active Directory Networks</t>
  </si>
  <si>
    <t>Happe, Andreas; Cito, J\"{u}rgen</t>
  </si>
  <si>
    <t>10.1145/3766895</t>
  </si>
  <si>
    <t>https://doi.org/10.1145/3766895</t>
  </si>
  <si>
    <t>Traditional enterprise penetration-testing, while critical for validating defenses and uncovering vulnerabilities, is often limited by high operational costs and the scarcity of human expertise. This paper investigates the feasibility and effectiveness of using Large Language Model (LLM)-driven autonomous systems to address these challenges in real-world Active Directory (AD) enterprise networks.We introduce a novel prototype, cochise, designed to employ LLMs to autonomously perform Assumed Breach penetration-testing against enterprise networks. Our system represents the first demonstration of a fully autonomous, LLM-driven framework capable of compromising accounts within a real-life Microsoft Active Directory testbed, the Game of Active Directory (GOAD). The evaluation deliberately utilizes GOAD to capture the intricate interactions and sometimes nondeterministic outcomes of live network penetration-testing, moving beyond the limitations of synthetic benchmarks.We perform our empirical evaluation using five LLMs, comparing reasoning to non-reasoning models as well as including open-weight models. Through comprehensive quantitative and qualitative analysis, incorporating insights from cybersecurity experts, we demonstrate that autonomous LLMs can effectively conduct Assumed Breach simulations. Key findings highlight their ability to dynamically adapt attack strategies, perform inter-context attacks (e.g., web application audits, social engineering, and unstructured data analysis for credentials), and generate scenario-specific attack parameters like realistic password candidates. The prototype also exhibits robust self-correction mechanisms, automatically installing missing tools and rectifying invalid command generations.Critically, we find that the associated costs are competitive with, and often significantly lower than, those incurred by professional human penetration testers, suggesting a path toward democratizing access to essential security testing for organizations with budgetary constraints. However, our research also illuminates existing limitations, including instances of LLM “going down rabbit holes”, challenges in comprehensive information transfer between planning and execution modules, and critical safety concerns that necessitate human oversight. Our findings lay foundational groundwork for future software engineering research into LLM-driven cybersecurity automation, emphasizing that the prototype's underlying LLM-driven architecture and techniques are domain-agnostic and hold promise for improving autonomous LLM usage in broader software engineering domains. The source code, traces, and analyzed logs are open-sourced to foster collective cybersecurity and future research.</t>
  </si>
  <si>
    <t>P-ACM-026</t>
  </si>
  <si>
    <t>LUMEN: Enhancing IoT System Observability with Multi-Agent Large Language Models and Knowledge Graphs</t>
  </si>
  <si>
    <t>Nedisan Videsjorden, Adela; Song, Hui; Goknil, Arda; Roman, Dumitru; Soylu, Ahmet</t>
  </si>
  <si>
    <t>10.1145/3772077</t>
  </si>
  <si>
    <t>https://doi.org/10.1145/3772077</t>
  </si>
  <si>
    <t>The rapid expansion of Internet of Things (IoT) systems has transformed industries through real-time monitoring and automation, generating vast and heterogeneous data streams. As IoT networks expand, the increasing volume and diversity of data, spanning real-time telemetry, device logs, and historical records, complicate the management of IoT systems, including system monitoring, analysis, and reasoning. To address this challenge, we introduce LUMEN (Large Language Models as Unified Multi-Agent Systems for IoT ENhancement), a novel approach combining multi-agent Large Language Models (LLMs), knowledge graphs, and heterogeneous databases to enable cognitive digital twins for IoT observability. LUMEN models IoT systems as knowledge graphs, capturing device relationships and metadata while monitoring data is stored in time-series or object databases. Specialized LLM-based agents collaborate dynamically to analyze IoT systems and explain the findings in natural language, generating and executing analysis code when necessary. Integrated with off-the-shelf network monitoring tools, LUMEN facilitates semantic reasoning and human-in-the-loop collaboration, delivering adaptive insights across diverse data contexts. Two industrial case studies demonstrate the ability of LUMEN to automate analysis workflows, enhance system adaptability, and provide interpretable analytics. This work advances IoT observability by integrating LLMs, semantic intelligence, and explainable analytics into a scalable and adaptive solution using a multi-agent architecture for complex IoT systems.</t>
  </si>
  <si>
    <t>P-ACM-027</t>
  </si>
  <si>
    <t>Drama: Unifying Data Retrieval and Analysis for Open-Domain Analytic Queries</t>
  </si>
  <si>
    <t>Hu, Chuxuan; Yang, Maxwell; Weiland, James; Lim, Yeji; Palawala, Suhas; Kang, Daniel</t>
  </si>
  <si>
    <t>10.1145/3769781</t>
  </si>
  <si>
    <t>https://doi.org/10.1145/3769781</t>
  </si>
  <si>
    <t>Manually conducting real-world data analyses is labor-intensive and inefficient. Despite numerous attempts to automate data science workflows, none of the existing paradigms or systems fully demonstrate all three key capabilities required to support them effectively: (1) open-domain data collection, (2) structured data transformation, and (3) analytic reasoning. To overcome these limitations, we propose Drama, an end-to-end paradigm that answers users' analytic queries in natural language on large-scale open-domain data. Drama unifies data collection, transformation, and analysis as a single pipeline. To quantitatively evaluate system performance on tasks representative of Drama, we construct a benchmark, DramaBench, consisting of two categories of tasks: claim verification and question answering, each comprising 100 instances. These tasks are derived from real-world applications that have gained significant public attention and require the retrieval and analysis of open-domain data. We develop DramaBot, a multi-agent system designed following Drama. It comprises a data retriever that collects and transforms data by coordinating the execution of sub-agents, and a data analyzer that performs structured reasoning over the retrieved data. We evaluate DramaBot on DramaBench together with five state-of-the-art baseline agents. DramaBot achieves 86.5% task accuracy at a cost of $0.05, outperforming all baselines with up to 6.9 times the accuracy and less than 1/6 of the cost. Drama is publicly available at https://github.com/uiuc-kang-lab/drama.</t>
  </si>
  <si>
    <t>P-ACM-028</t>
  </si>
  <si>
    <t>Unique Security and Privacy Threats of Large Language Models: A Comprehensive Survey</t>
  </si>
  <si>
    <t>Wang, Shang; Zhu, Tianqing; Liu, Bo; Ding, Ming; Ye, Dayong; Zhou, Wanlei; Yu, Philip</t>
  </si>
  <si>
    <t>10.1145/3764113</t>
  </si>
  <si>
    <t>https://doi.org/10.1145/3764113</t>
  </si>
  <si>
    <t>With the rapid development of artificial intelligence, large language models (LLMs) have made remarkable advancements in natural language processing. These models are trained on vast datasets to exhibit powerful language understanding and generation capabilities across various applications, including chatbots and agents. However, LLMs have revealed a variety of privacy and security issues throughout their life cycle, drawing significant academic and industrial attention. Moreover, the risks faced by LLMs differ significantly from those encountered by traditional language models. Given that current surveys lack a clear taxonomy of unique threat models across diverse scenarios, we emphasize the unique privacy and security threats associated with four specific scenarios: pre-training, fine-tuning, deployment, and LLM-based agents. Addressing the characteristics of each risk, this survey outlines and analyzes potential countermeasures. Research on attack and defense situations can offer feasible research directions, enabling more areas to benefit from LLMs.</t>
  </si>
  <si>
    <t>P-ACM-029</t>
  </si>
  <si>
    <t>A Comprehensive Overview of Large Language Models</t>
  </si>
  <si>
    <t>Naveed, Humza; Khan, Asad Ullah; Qiu, Shi; Saqib, Muhammad; Anwar, Saeed; Usman, Muhammad; Akhtar, Naveed; Barnes, Nick; Mian, Ajmal</t>
  </si>
  <si>
    <t>10.1145/3744746</t>
  </si>
  <si>
    <t>https://doi.org/10.1145/3744746</t>
  </si>
  <si>
    <t>Large Language Models (LLMs) have recently demonstrated remarkable capabilities in natural language processing tasks and beyond. This success of LLMs has led to a large influx of research contributions in this direction. These works encompass diverse topics such as architectural innovations, better training strategies, context length improvements, fine-tuning, multimodal LLMs, robotics, datasets, benchmarking, efficiency, and more. With the rapid development of techniques and regular breakthroughs in LLM research, it has become considerably challenging to perceive the bigger picture of the advances in this direction. Considering the rapidly emerging plethora of literature on LLMs, it is imperative that the research community is able to benefit from a concise yet comprehensive overview of the recent developments in this field. This article provides an overview of the literature on a broad range of LLM-related concepts. Our self-contained comprehensive overview of LLMs discusses relevant background concepts along with covering the advanced topics at the frontier of research in LLMs. This review article is intended to provide not only a systematic survey but also a quick, comprehensive reference for the researchers and practitioners to draw insights from extensive, informative summaries of the existing works to advance the LLM research.</t>
  </si>
  <si>
    <t>P-ACM-030</t>
  </si>
  <si>
    <t>Semantic Fusion: Verifiable Alignment in Decentralized Multi-Agent Systems</t>
  </si>
  <si>
    <t>Zaichyk, Sofiya C</t>
  </si>
  <si>
    <t>10.1145/3797042</t>
  </si>
  <si>
    <t>https://doi.org/10.1145/3797042</t>
  </si>
  <si>
    <t>We present Semantic Fusion (SF), a formal framework for decentralized semantic coordination in multi-agent systems. SF allows agents to operate over scoped views of shared memory, propose structured updates, and maintain global coherence through local ontology-based validation and refresh without centralized control or explicit message passing. The central theoretical result is a bisimulation theorem showing that each agent's local execution is behaviorally equivalent to its projection of the global semantics, in both deterministic and probabilistic settings. This enables safety, liveness, and temporal properties to be verified locally and soundly lifted to the full system. SF supports agents whose update proposals vary across invocations, including those generated by learned or heuristic components, provided updates pass semantic validation before integration. We establish deterministic and probabilistic guarantees ensuring semantic alignment under asynchronous or degraded communication. To validate the model operationally, we implement a lightweight reference architecture that instantiates its core mechanisms. A 250-agent simulation evaluates these properties across over 11,000 validated updates, demonstrating convergence under probabilistic refresh, bounded communication, and resilience to agent failure. Together, these results show that Semantic Fusion provides a formal and scalable basis for verifiable autonomy in decentralized systems.</t>
  </si>
  <si>
    <t>RQ1; RQ2; RQ3; RQ4</t>
  </si>
  <si>
    <t>P-ACM-031</t>
  </si>
  <si>
    <t>Fully Autonomous Programming Using Iterative Multi-Agent Debugging with Large Language Models</t>
  </si>
  <si>
    <t>Grishina, Anastasiia; Liventsev, Vadim; H\"{a}rm\"{a}, Aki; Moonen, Leon</t>
  </si>
  <si>
    <t>10.1145/3719351</t>
  </si>
  <si>
    <t>https://doi.org/10.1145/3719351</t>
  </si>
  <si>
    <t>Program synthesis with Large Language Models (LLMs) suffers from a “near-miss syndrome”: The generated code closely resembles a correct solution but fails unit tests due to minor errors. We address this with a multi-agent framework called Synthesize, Execute, Instruct, Debug, and Repair (SEIDR). Effectively applying SEIDR to instruction-tuned LLMs requires determining (a) optimal prompts for LLMs, (b) what ranking algorithm selects the best programs in debugging rounds, and (c) balancing the repair of unsuccessful programs with the generation of new ones. We empirically explore these tradeoffs by comparing replace-focused, repair-focused, and hybrid debug strategies. We also evaluate lexicase and tournament selection to rank candidates in each generation. On Program Synthesis Benchmark 2 (PSB2), our framework outperforms both conventional use of OpenAI Codex without a repair phase and traditional genetic programming approaches. SEIDR outperforms the use of an LLM alone, solving 18 problems in C++ and 20 in Python on PSB2 at least once across experiments. To assess generalizability, we employ GPT-3.5 and Llama 3 on the PSB2 and HumanEval-X benchmarks. Although SEIDR with these models does not surpass current state-of-the-art methods on the Python benchmarks, the results on HumanEval-C++ are promising. SEIDR with Llama 3-8B achieves an average pass@100 of 84.2%. Across all SEIDR runs, 163 of 164 problems are solved at least once with GPT-3.5 in HumanEval-C++, and 162 of 164 with the smaller Llama 3-8B. We conclude that SEIDR effectively overcomes the near-miss syndrome in program synthesis with LLMs.</t>
  </si>
  <si>
    <t>P-ACM-032</t>
  </si>
  <si>
    <t>Agentic Large Language Models, a Survey</t>
  </si>
  <si>
    <t>Plaat, Aske; van Duijn, Max; Van Stein, Niki; Preuss, Mike; van der Putten, Peter; Batenburg, Kees Joost</t>
  </si>
  <si>
    <t>10.1613/jair.1.18675</t>
  </si>
  <si>
    <t>https://doi.org/10.1613/jair.1.18675</t>
  </si>
  <si>
    <t>Background: There is great interest in agentic LLMs, large language models that act as agents. Objectives: We review the growing body of work in this area and provide a research agenda. Methods: Agentic LLMs are LLMs that (1) reason, (2) act, and (3) interact. We organize the literature according to these three categories. Results: The research in the first category focuses on reasoning, reflection, and retrieval, aiming to improve decision making; the second category focuses on action models, robots, and tools, aiming for agents that act as useful assistants; the third category focuses on multi-agent systems, aiming for collaborative task solving and simulating interaction to study emergent social behavior. We find that works mutually benefit from results in other categories: retrieval enables tool use, reflection improves multi-agent collaboration, and reasoning benefits all categories. Conclusions: We discuss applications of agentic LLMs and provide an agenda for further research. Important applications are in medical diagnosis, logistics and financial market analysis. Meanwhile, self-reflective agents playing roles and interacting with one another augment the process of scientific research itself. Further, agentic LLMs provide a solution for the problem of LLMs running out of training data: inference-time behavior generates new training states, such that LLMs can keep learning without needing ever larger datasets. We note that there is risk associated with LLM assistants taking action in the real world—safety, liability and security are open problems—while agentic LLMs are also likely to benefit society.</t>
  </si>
  <si>
    <t>P-ACM-033</t>
  </si>
  <si>
    <t>Dynamic Power Management Through Multi-agent Deep Reinforcement Learning for Heterogeneous Systems</t>
  </si>
  <si>
    <t>Wang, Yiming; Zhang, Weizhe; Hao, Meng; Kong, Weizhi; Wen, Yuan</t>
  </si>
  <si>
    <t>10.1145/3716872</t>
  </si>
  <si>
    <t>https://doi.org/10.1145/3716872</t>
  </si>
  <si>
    <t>Power management and optimization play a significant role in modern computer systems, from battery-powered devices to servers running in data centers. Existing approaches for power capping fail to meet the requirements presented by dynamic workloads, and the situation becomes even more severe, given the divergent energy efficiency of workloads on heterogeneous hardware platforms. Adaptively optimizing energy consumption for dynamic workloads presents a great challenge to heterogeneous systems. To tackle this challenge, we present a machine learning based method to improve system-level power efficiency. We employ multi-agent deep reinforcement learning (MADRL) to automatically explore the relationship between long-term performance and the power budget for workloads of different types on classic CPU-GPU heterogeneous platforms. Our framework equips each device with an agent, enabling decentralized control over its power budget while maintaining centralized coordination to maximize the running time of applications within a power cap. We evaluate our approach against state-of-the-art methods on CPU-GPU platforms. Experimental results show that our method improves performance by an average of 8.5%. Additionally, our method is significantly more stable compared to the state-of-the-art heuristic approach.</t>
  </si>
  <si>
    <t>P-ACM-034</t>
  </si>
  <si>
    <t>Large Language Models for Computer-Aided Design: A Survey</t>
  </si>
  <si>
    <t>Zhang, Licheng; Le, Bach; Akhtar, Naveed; Lam, Siew-Kei; Ngo, Duc</t>
  </si>
  <si>
    <t>10.1145/3787499</t>
  </si>
  <si>
    <t>https://doi.org/10.1145/3787499</t>
  </si>
  <si>
    <t>Large Language Models (LLMs) have seen rapid advancements in recent years, with models like ChatGPT and DeepSeek, showcasing their remarkable capabilities across diverse domains. While substantial research has been conducted on LLMs in various fields, a comprehensive review focusing on their integration with Computer-Aided Design (CAD) remains notably absent. CAD is the industry standard for 3D modeling and plays a vital role in the design and development of products across different industries. As the complexity of modern designs increases, the potential for LLMs to enhance and streamline CAD workflows presents an exciting frontier. This article presents the first systematic survey exploring the intersection of LLMs and CAD. We begin by outlining the industrial significance of CAD, highlighting the need for Artificial Intelligence (AI)-driven innovation. Next, we provide a detailed overview of the foundation of LLMs. We also examine both closed-source LLMs as well as publicly available models. The core of this review focuses on the various applications of LLMs in CAD, providing a taxonomy of six key areas where these models are making considerable impact. We also provide a comprehensive study of CAD evaluation, reviewing existing methods and metrics in detail. In our analysis, we also examine common data modalities, model usage trends, dataset sources, and industrial application domains to provide a well-rounded picture of the field. Finally, we propose several promising future directions for further advancements, which offer vast opportunities for innovation and are poised to shape the future of CAD technology. Github: https://github.com/lichengzhanguom/LLMs-CAD-Survey-Taxonomy.</t>
  </si>
  <si>
    <t>RQ1; RQ3; RQ6</t>
  </si>
  <si>
    <t>P-ACM-035</t>
  </si>
  <si>
    <t>DynaGraph: Towards Dynamic Graph Learning for Multi-scale Traffic Generation with Spatial-temporal Agent Framework</t>
  </si>
  <si>
    <t>Ouyang, Jinhui; Zhu, Yijie; Deng, Hanhui; He, Jialyu; Wu, Di</t>
  </si>
  <si>
    <t>10.1145/3749542</t>
  </si>
  <si>
    <t>https://doi.org/10.1145/3749542</t>
  </si>
  <si>
    <t>The precise prediction of multi-scale traffic is a ubiquitous challenge in the urbanization process for car owners, road administrators, and governments. In the case of complex road networks, current and past traffic information from both upstream and downstream roads are crucial since various road networks have different semantic information about traffic. Rationalizing the utilization of semantic information can realize short-term, long-term, and unseen road traffic prediction. As the demands of multi-scale traffic analysis increase, on-demand interactions and visualizations are expected to be available for transportation participants. We have designed a multi-scale traffic generation system, namely DynaGraph, using a multi-agent framework to process multi-scale traffic data, conduct multi-scale traffic analysis, and present multi-scale visualization results. DynaGraph consists of three essential AI agents: 1) a text-to-demand agent with deep thinking ability to interact with users and extract prediction tasks through texts or voice; 2) a traffic prediction agent that leverages multi-scale traffic data to generate temporal features and similarity, and fuse them with limited spatial features and similarity, to achieve accurate prediction of three tasks; and 3) a suggestion and visualization agent that uses the prediction results to generate suggestions and visualizations, providing users with a comprehensive understanding of traffic conditions. Our DynaGraph as a generic system focuses on addressing concerns about traffic prediction from transportation participants, and conducted extensive experiments on five real-world road datasets to demonstrate its competitive prediction accuracy, scalability, and superior interactive performance.</t>
  </si>
  <si>
    <t>P-ACM-036</t>
  </si>
  <si>
    <t>Leveraging Large Language Models for Collective Decision-Making</t>
  </si>
  <si>
    <t>Papachristou, Marios; Yang, Longqi; Hsu, Chin-Chia</t>
  </si>
  <si>
    <t>10.1145/3757418</t>
  </si>
  <si>
    <t>https://doi.org/10.1145/3757418</t>
  </si>
  <si>
    <t>In various work contexts, such as meeting scheduling, collaborating, and project planning, collective decision-making is essential but often challenging due to diverse individual preferences, varying work focuses, and power dynamics among members. To address this, we propose a system leveraging Large Language Models (LLMs) to facilitate group decision-making by managing conversations and balancing preferences among individuals. Our system aims to extract individual preferences from each member's conversation with the system and suggest options that satisfy the preferences of the members. We specifically apply this system to corporate meeting scheduling. We create synthetic employee profiles and simulate conversations at scale, leveraging LLMs to evaluate the system performance as a novel approach to conducting a user study. Our results indicate efficient coordination with reduced interactions between the members and the LLM-based system. The system refines and improves its proposed options over time, ensuring that many of the members' individual preferences are satisfied in an equitable way. Finally, we conduct a survey study involving human participants to assess our system's ability to aggregate preferences and reasoning about them. Our findings show that the system exhibits strong performance in both dimensions.</t>
  </si>
  <si>
    <t>P-ACM-037</t>
  </si>
  <si>
    <t>Investigating the Role of Cultural Values in Adopting Large Language Models for Software Engineering</t>
  </si>
  <si>
    <t>Lambiase, Stefano; Catolino, Gemma; Palomba, Fabio; Ferrucci, Filomena; Russo, Daniel</t>
  </si>
  <si>
    <t>10.1145/3725529</t>
  </si>
  <si>
    <t>https://doi.org/10.1145/3725529</t>
  </si>
  <si>
    <t>As a socio-technical activity, software development involves the close interconnection of people and technology. The integration of Large Language Models (LLMs) into this process exemplifies the socio-technical nature of software development. Although LLMs influence the development process, software development remains fundamentally human-centric, necessitating an investigation of the human factors in this adoption. Thus, with this study we explore the factors influencing the adoption of LLMs in software development, focusing on the role of professionals’ cultural values. Guided by the Unified Theory of Acceptance and Use of Technology (UTAUT2) and Hofstede’s cultural dimensions, we hypothesized that cultural values moderate the relationships within the UTAUT2 framework. Using Partial Least Squares-Structural Equation Modelling and data from 188 software engineers, we found that habit and performance expectancy are the primary drivers of LLM adoption, while cultural values do not significantly moderate this process. These findings suggest that, by highlighting how LLMs can boost performance and efficiency, organizations can encourage their use, no matter the cultural differences. Practical steps include offering training programs to demonstrate LLM benefits, creating a supportive environment for regular use, and continuously tracking and sharing performance improvements from using LLMs.</t>
  </si>
  <si>
    <t>P-ACM-038</t>
  </si>
  <si>
    <t>AdverIntent-Agent: Adversarial Reasoning for Repair Based on Inferred Program Intent</t>
  </si>
  <si>
    <t>Ye, He; Yang, Aidan Z.H.; Hu, Chang; Wang, Yanlin; Zhang, Tao; Le Goues, Claire</t>
  </si>
  <si>
    <t>10.1145/3728939</t>
  </si>
  <si>
    <t>https://doi.org/10.1145/3728939</t>
  </si>
  <si>
    <t>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</si>
  <si>
    <t>P-ACM-039</t>
  </si>
  <si>
    <t>Enhancing Security of Distributed Multi-Agent Systems in Smart Grids: An AI-Driven Approach to Regular Audits</t>
  </si>
  <si>
    <t>Priyadarsini, Madhukrishna</t>
  </si>
  <si>
    <t>10.1145/3748730</t>
  </si>
  <si>
    <t>https://doi.org/10.1145/3748730</t>
  </si>
  <si>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</si>
  <si>
    <t>P-ACM-040</t>
  </si>
  <si>
    <t>A Research Roadmap for Augmenting Software Engineering Processes and Software Products with Generative AI</t>
  </si>
  <si>
    <t>Amalfitano, Domenico; Metzger, Andreas; Autili, Marco; Fulcini, Tommaso; Hey, Tobias; Keim, Jan; Pelliccione, Patrizio; Scotti, Vincenzo; Koziolek, Anne; Mirandola, Raffaela; Vogelsang, Andreas</t>
  </si>
  <si>
    <t>10.1145/3788879</t>
  </si>
  <si>
    <t>https://doi.org/10.1145/3788879</t>
  </si>
  <si>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</si>
  <si>
    <t>P-ACM-041</t>
  </si>
  <si>
    <t>Future UAV/Drone Systems for Intelligent Active Surveillance and Monitoring</t>
  </si>
  <si>
    <t>Ahmad, Tazeem; Morel, Alicia; Cheng, Nuo; Palaniappan, Kannappan; Calyam, Prasad; Sun, Kun; Pan, Jianli</t>
  </si>
  <si>
    <t>10.1145/3760389</t>
  </si>
  <si>
    <t>https://doi.org/10.1145/3760389</t>
  </si>
  <si>
    <t>The rapid development of the Internet of Things (IoT) has fueled the widespread adoption of Unmanned Aerial Vehicles (UAVs) or drones across various fields, including their use in applications such as surveillance and monitoring. UAVs flight capabilities allow it to effortlessly access previously inaccessible locations, providing real-time, high-resolution data—images and videos—of any desired area or target. Furthermore, the growth of Artificial Intelligence (AI), and edge computing technologies has empowered UAVs with high computational capabilities, making them suitable for diverse applications such as agriculture, transportation and border security. These technology advancements also equip UAVs with powerful on-board processing for sophisticated decision-making that enhances UAV activeness and intelligence. This survey explores the promising areas of UAVs for intelligent active surveillance and monitoring across diverse applications. First, the various levels of UAV activeness within applications are discussed; second, prior research is examined to identify the key technologies and architectures that power intelligent UAV systems; and third, several UAV applications in surveillance and monitoring, ranging from basic tasks to highly intelligent operations are explored. Finally, the survey concludes by discussing emerging research challenges and outlines a guiding road map for future research of highly interdisciplinary and emerging areas in UAV-based systems for surveillance and monitoring.</t>
  </si>
  <si>
    <t>P-ACM-042</t>
  </si>
  <si>
    <t>Negative Stances Detection from Multilingual Data Streams in Low-Resource Languages on Social Media Using BERT and CNN-Based Transfer Learning Model</t>
  </si>
  <si>
    <t>Kumar, Sanjay</t>
  </si>
  <si>
    <t>10.1145/3625821</t>
  </si>
  <si>
    <t>https://doi.org/10.1145/3625821</t>
  </si>
  <si>
    <t>Online social media allows users to connect with a large number of people across the globe and facilitate the exchange of information efficiently. These platforms cater to many of our day-to-day needs. However, at the same time, social media have been increasingly used to transmit negative stances such as derogatory language, hate speech, and cyberbullying. The task of identifying the negative stances from social media posts or comments or tweets is termed negative stance detection. One of the major challenges associated with negative stance detection is that most of the content published on social media is often in a multilingual format. This work aims to identify negative stances from multilingual data streams in low-resource languages on social media using a hybrid transfer learning and deep convolutional neural network approach. The proposed work starts by preprocessing the multilingual datasets by removing irrelevant information such as special characters and hyperlinks. The processed dataset is then passed through a pretrained BERT (bidirectional encoder representations from Transformers) model to generate embeddings by fine-tuning the model as per the dataset under consideration. The generated word embeddings are then passed to a deep convolutional neural network for extracting the latent features from the texts and removing the unessential information. This helps our model to achieve robustness and effectiveness for efficient learning on the given dataset and make appropriate predictions on zero-shot data. The article utilizes several optimization strategies for examining the impact of fine-tuning different BERT layers on the model’s performance. Intensive experiments on a variety of languages — namely, English, French, Italian, Danish, Arabic, Spanish, Indonesian, German, and Portuguese — are performed. The experimental results demonstrate the effectiveness and efficiency of the proposed framework.</t>
  </si>
  <si>
    <t>P-ACM-043</t>
  </si>
  <si>
    <t>Reinforced Prompt Personalization for Recommendation with Large Language Models</t>
  </si>
  <si>
    <t>Mao, Wenyu; Wu, Jiancan; Chen, Weijian; Gao, Chongming; Wang, Xiang; He, Xiangnan</t>
  </si>
  <si>
    <t>10.1145/3716320</t>
  </si>
  <si>
    <t>https://doi.org/10.1145/3716320</t>
  </si>
  <si>
    <t>Designing effective prompts can empower LLMs to understand user preferences and provide recommendations with intent comprehension and knowledge utilization capabilities. Nevertheless, recent studies predominantly concentrate on task-wise prompting, developing fixed prompt templates shared across all users in a given recommendation task (e.g., rating or ranking). Although convenient, task-wise prompting overlooks individual user differences, leading to inaccurate analysis of user interests. In this work, we introduce the concept of instance-wise prompting, aiming at personalizing discrete prompts for individual users. Toward this end, we propose Reinforced Prompt Personalization (RPP) to realize it automatically. To improve efficiency and quality, RPP personalizes prompts at the sentence level rather than searching in the vast vocabulary word-by-word. Specifically, RPP breaks down the prompt into four patterns, tailoring patterns based on multi-agent and combining them. Then the personalized prompts interact with LLMs (environment) iteratively, to boost LLMs’ recommending performance (reward). In addition to RPP, to improve the scalability of action space, our proposal of RPP+ dynamically refines the selected actions with LLMs throughout the iterative process. Extensive experiments on various datasets demonstrate the superiority of RPP/RPP+ over traditional recommender models, few-shot methods, and other prompt-based methods, underscoring the significance of instance-wise prompting in LLMs for recommendation. Our code is available at .</t>
  </si>
  <si>
    <t>P-ACM-044</t>
  </si>
  <si>
    <t>Enhancing Context Awareness with Model Checking-based Uncertainty Representation in Decision Support Systems</t>
  </si>
  <si>
    <t>Chen, Guangyao; Li, Zeyu; Gu, Jicheng; She, Yining; Zhu, Chenyang; Jiang, Zhihao</t>
  </si>
  <si>
    <t>10.1145/3785354</t>
  </si>
  <si>
    <t>https://doi.org/10.1145/3785354</t>
  </si>
  <si>
    <t>Safety-critical decision-making often necessitates operating within complex and uncertain environments, typically characterized as partially-observable Multi-Agent Systems (MAS). Effective decision-making in these settings demands a profound understanding of the environment and accurate representation and quantification of epistemic uncertainty due to informational deficits. This uncertainty representation must reflect prior knowledge and dynamically integrate observational data. While Version Space Learning (VSL) offers a framework for set-based uncertainty representation, prior methods often depend on under-approximation of the actual version space, which falls short in safety-critical applications. We introduce a model checking-based VSL framework to enhance uncertainty representation and context-awareness in such applications. Our approach employs network of timed automata (NTA) to model the MAS environment, capturing its mechanisms and prior knowledge efficiently. The inherent non-determinism of timed automata facilitates an over-approximation of the actual version space, ensuring all plausible hypotheses are considered. We further refine the parameter ranges of the NTA using proof traces, optimizing the use of observational data. In a medical diagnosis case study, our framework identified a missing rule in a traditional rule-based system and provided interpretable and scalable results, demonstrating our method’s ability to improve decision-making accuracy and manage complex scenarios effectively.</t>
  </si>
  <si>
    <t>P-ACM-045</t>
  </si>
  <si>
    <t>Automation in Model-Driven Engineering: A Look Back, and Ahead</t>
  </si>
  <si>
    <t>Burgue\~{n}o, Lola; Di Ruscio, Davide; Sahraoui, Houari; Wimmer, Manuel</t>
  </si>
  <si>
    <t>10.1145/3712008</t>
  </si>
  <si>
    <t>https://doi.org/10.1145/3712008</t>
  </si>
  <si>
    <t>Model-Driven Engineering (MDE) provides a huge body of knowledge of automation for many different engineering tasks, especially those involving transitioning from design to implementation. With the huge progress made in AI, questions arise about the future of MDE, such as how existing MDE techniques and technologies can be improved or how other activities that currently lack dedicated support can also be automated. However, at the same time, it has to be revisited where and how models should be used to keep the engineers in the loop for creating, operating, and maintaining complex systems. To trigger dedicated research on these open points, we discuss the history of automation in MDE and present perspectives on how automation in MDE can be further improved and which obstacles have to be overcome in both the medium and long-term.</t>
  </si>
  <si>
    <t>P-ACM-046</t>
  </si>
  <si>
    <t>Machine Normalization: Bringing Social Media Text from Non-Standard to Standard Form</t>
  </si>
  <si>
    <t>Zarnoufi, Randa; Jaafar, Hamid; Abik, Mounia</t>
  </si>
  <si>
    <t>10.1145/3378414</t>
  </si>
  <si>
    <t>https://doi.org/10.1145/3378414</t>
  </si>
  <si>
    <t>User-generated text in social media communication (SMC) is mainly characterized by non-standard form. It may contain code switching (CS) text, a widespread phenomenon in SMC, in addition to noisy elements used, especially in written conversations (use of abbreviations, symbols, emoticons) or misspelled words. All of these factors constitute a wall in front of text mining applications. Common text mining tools are dedicated to standard use of standard languages but cannot deal with other forms, especially written text in social media. To overcome these problems, in this work we present our solution for the normalization of non-standard use of standard and non-standard languages (dialects) in SMC text with the use of existent resources and tools. The main processing in our solution consists of CS normalization from multiple to one language by the use of a machine translation--like approach. This processing relies on a linguistic approach of CS, which aims at identifying automatically the translation source and target languages (without human intervention). The remaining processing operations concern the normalization of SMC special expressions and spelling correction of out-of-vocabulary words. To preserve the coded-switched sentence meaning across translation, we adopt a knowledge-based approach for word sense translation disambiguation reinforced with a multi-lingual vertical context. All of these processes are embedded in what we refer to as the machine normalization system. Our solution can be used as a front-end of text mining processing, enabling the analysis of SMC noisy text. The conducted experiments show that our system performs better than considered baselines.</t>
  </si>
  <si>
    <t>P-ACM-047</t>
  </si>
  <si>
    <t>Prompt2Task: Automating UI Tasks on Smartphones from Textual Prompts</t>
  </si>
  <si>
    <t>Huang, Tian; Yu, Chun; Shi, Weinan; Peng, Zijian; Yang, David; Sun, Weiqi; Shi, Yuanchun</t>
  </si>
  <si>
    <t>10.1145/3716132</t>
  </si>
  <si>
    <t>https://doi.org/10.1145/3716132</t>
  </si>
  <si>
    <t>UI task automation enables efficient task execution by simulating human interactions with GUIs, without modifying the existing application code. However, its broader adoption is constrained by the need for expertise in both scripting languages and workflow design. To address this challenge, we present Prompt2Task, a system designed to comprehend various task-related textual prompts (e.g., goals, procedures), thereby generating and performing the corresponding automation tasks. Prompt2Task incorporates a suite of intelligent agents that mimic human cognitive functions, specializing in interpreting user intent, managing external information for task generation, and executing operations on smartphones. The agents can learn from user feedback and continuously improve their performance based on the accumulated knowledge. Experimental results indicated a performance jump from a 22.28% success rate in the baseline to 95.24% with Prompt2Task, requiring an average of 0.69 user interventions for each new task. Prompt2Task presents promising applications in fields such as tutorial creation, smart assistance, and customer service.</t>
  </si>
  <si>
    <t>P-ACM-048</t>
  </si>
  <si>
    <t>Panel on Neural Relational Data: Tabular Foundation Models, LLMs... or Both?</t>
  </si>
  <si>
    <t>Papotti, Paolo; Binnig, Carsten</t>
  </si>
  <si>
    <t>10.14778/3750601.3760519</t>
  </si>
  <si>
    <t>https://doi.org/10.14778/3750601.3760519</t>
  </si>
  <si>
    <t>Recent breakthroughs in artificial intelligence have produced Large Language Models (LLMs) and a new wave of Tabular Foundation Models (TFMs). Both promise to redefine how we query, integrate, and reason over relational data, yet they embody opposing philosophies: LLMs pursue broad generality through massive text-centric pre-training, whereas TFMs embed inductive biases that mirror table structure and relational semantics. This panel assembles researchers and practitioners from academia and industry to debate which path, specialized TFMs, ever stronger general-purpose LLMs, or a hybrid of the two, will most effectively power the next generation of data management systems. Panelists will confront questions of generality, accuracy, scalability, robustness, cost, and usability across core data management tasks such as Text-to-SQL translation, schema understanding, and entity resolution. The discussion aims to surface critical research challenges and guide the community's investment of effort and resources over the coming years.</t>
  </si>
  <si>
    <t>P-ACM-049</t>
  </si>
  <si>
    <t>Multi-Agents are Social Groups: Investigating Social Influence of Multiple Agents in Human-Agent Interactions</t>
  </si>
  <si>
    <t>Song, Tianqi; Tan, Yugin; Zhu, Zicheng; Feng, Yibin; Lee, Yi-Chieh</t>
  </si>
  <si>
    <t>10.1145/3757633</t>
  </si>
  <si>
    <t>https://doi.org/10.1145/3757633</t>
  </si>
  <si>
    <t>Multi-agent systems, systems with multiple independent AI agents working together to achieve a common goal, are becoming increasingly prevalent in daily life. Drawing inspiration from the phenomenon of human group social influence, we investigate whether a group of AI agents can create social pressure on users to agree with them, potentially changing their stance on a topic. We conducted a study in which participants discussed social issues with either a single or multiple AI agents, and where the agents either agreed or disagreed with the user's stance on the topic. We found that conversing with multiple agents increased the social pressure felt by participants, and caused a greater shift in opinion towards the agents' stances on the conversation topics. Our study shows the potential advantages of multi-agent systems over single-agent platforms in causing opinion change. We discuss the resulting possibilities for multi-agent systems that promote social good, as well as potential malicious actors using these systems to manipulate public opinion.</t>
  </si>
  <si>
    <t>P-ACM-050</t>
  </si>
  <si>
    <t>Large Language Models for Information Retrieval: A Survey</t>
  </si>
  <si>
    <t>Zhu, Yutao; Yuan, Huaying; Wang, Shuting; Liu, Jiongnan; Liu, Wenhan; Deng, Chenlong; Chen, Haonan; Liu, Zheng; Dou, Zhicheng; Wen, Ji-Rong</t>
  </si>
  <si>
    <t>10.1145/3748304</t>
  </si>
  <si>
    <t>https://doi.org/10.1145/3748304</t>
  </si>
  <si>
    <t>As a primary means of information acquisition, information retrieval (IR) systems, such as search engines, have integrated themselves into our daily lives. These systems also serve as components of dialogue, question-answering, and recommender systems. The trajectory of IR has evolved dynamically from its origins in term-based methods to its integration with advanced neural models. While the neural models excel at capturing complex contextual signals and semantic nuances, they still face challenges such as data scarcity, interpretability, and the generation of contextually plausible yet potentially inaccurate responses. This evolution requires a combination of traditional methods (such as term-based sparse retrieval methods with rapid response) and modern neural architectures (such as language models with powerful language understanding capacity). Meanwhile, the emergence of large language models (LLMs) has revolutionized natural language processing due to their remarkable language understanding, generation, and reasoning abilities. Consequently, recent research has sought to leverage LLMs to improve IR systems. Given the rapid evolution of this research trajectory, it is necessary to consolidate existing methodologies and provide nuanced insights through a comprehensive overview. In this survey, we delve into the confluence of LLMs and IR systems, including crucial aspects such as query rewriters, retrievers, rerankers, readers, and search agents.</t>
  </si>
  <si>
    <t>P-ACM-051</t>
  </si>
  <si>
    <t>Introduction to Special Issue on Large Language Models for Electronic System Design Automation</t>
  </si>
  <si>
    <t>Dick, Robert Paul; Pearce, Hammond; Shang, Li; Yang, Fan</t>
  </si>
  <si>
    <t>10.1145/3746636</t>
  </si>
  <si>
    <t>https://doi.org/10.1145/3746636</t>
  </si>
  <si>
    <t>Large Language Models are having a substantial impact on electronic design automation in areas ranging from hardware architecture to verification and optimization. The special issue provides a snapshot of work on this topic. This introduction describes and provides context for the research area, describes the organization of the special issue, and provides terse summaries of each of its papers.</t>
  </si>
  <si>
    <t>P-ACM-052</t>
  </si>
  <si>
    <t>From Expert Systems to Generative Artificial Experts: A New Concept for Human-AI Collaboration in Knowledge Work</t>
  </si>
  <si>
    <t>Sowa, Konrad; Przegalinska, Aleksandra</t>
  </si>
  <si>
    <t>10.1613/jair.1.17175</t>
  </si>
  <si>
    <t>https://doi.org/10.1613/jair.1.17175</t>
  </si>
  <si>
    <t>This paper introduces Generative Artificial Experts (GAEs) - a concept of a new type of generative AI agents designed for human-AI collaboration in knowledge work. GAEs have specialized domain expertise, perform tasks within bounded autonomy, include a synthetic persona and possess multimodal generative AI capabilities, among other features. We provide a definition of GAEs which includes seven defining traits, offering a taxonomy which sets them apart from other generative AI systems. We use literature-review based conceptual analysis with abductive reasoning to propose the new concept that addresses identified limitations in existing systems. The paper explores the emergence of GAEs as a leap from expert systems. We name two enablers for GAEs - ongoing development of a research field of human-AI collaboration and growing capabilities of generative artificial intelligence systems. We discuss existing generative AI agents, noting that GAEs as such do not exist yet, but are starting to emerge. Due conceptual nature of this paper we do not explore the technical aspects of GAEs development. Instead, we use illustrative examples to present possible applications of GAEs and their potential role in the future of knowledge work. This article appears in the AI &amp; Society track.</t>
  </si>
  <si>
    <t>P-ACM-053</t>
  </si>
  <si>
    <t>Prompt-Based Prototypical Framework for Continual Relation Extraction</t>
  </si>
  <si>
    <t>Zhang, Han; Liang, Bin; Yang, Min; Wang, Hui; Xu, Ruifeng</t>
  </si>
  <si>
    <t>10.1109/taslp.2022.3199655</t>
  </si>
  <si>
    <t>https://doi.org/10.1109/TASLP.2022.3199655</t>
  </si>
  <si>
    <t>Continual relation extraction (CRE) is an important task of continual learning, which aims to learn incessantly emerging new relations between entities from texts. To avoid catastrophically forgetting old relations, some existing research efforts have focused on exploring memory replayed methods by storing typical historical learned instances or embedding all observed relations as prototypes in the episodic memory and replaying them in the subsequent training process. However, they generally fail to exploit the relation knowledge contained in the pre-trained language model (PLM), which could provide enlightening information to the representations of new relations from the known ones. To this end, we investigate the CRE from a novel perspective by generating knowledge-infused relation prototypes to leverage the relational knowledge from PLM with prompt tuning. Specifically, based on the typical samples collected from the historical learned instances with K-means algorithm, we devise novel relational knowledge-infused prompts to elicit relational knowledge from PLM for generating knowledge-infused relation prototypes. Then the prototypes are used to refine the typical examples embedding and calculate the stability-plasticity balance score for adjusting the memory replayed progress. The experimental results show that our method outperforms the state-of-the-art baseline models in CRE. The further extensive analysis presents that the proposed method is robust to memory size, task order, length of the task sequence, and the number of training instances.</t>
  </si>
  <si>
    <t>P-ACM-054</t>
  </si>
  <si>
    <t>The Future of AI-Driven Software Engineering</t>
  </si>
  <si>
    <t>Terragni, Valerio; Vella, Annie; Roop, Partha; Blincoe, Kelly</t>
  </si>
  <si>
    <t>10.1145/3715003</t>
  </si>
  <si>
    <t>https://doi.org/10.1145/3715003</t>
  </si>
  <si>
    <t>A paradigm shift is underway in Software Engineering, with AI systems such as LLMs playing an increasingly important role in boosting software development productivity. This trend is anticipated to persist. In the next years, we expect a growing symbiotic partnership between human software developers and AI. The Software Engineering research community cannot afford to overlook this trend; we must address the key research challenges posed by the integration of AI into the software development process. In this article, we present our vision of the future of software development in an AI-driven world and explore the key challenges that our research community should address to realize this vision.</t>
  </si>
  <si>
    <t>P-ACM-055</t>
  </si>
  <si>
    <t>Software Engineering for Collective Cyber-Physical Ecosystems</t>
  </si>
  <si>
    <t>Casadei, Roberto; Aguzzi, Gianluca; Audrito, Giorgio; Damiani, Ferruccio; Pianini, Danilo; Scarso, Giordano; Torta, Gianluca; Viroli, Mirko</t>
  </si>
  <si>
    <t>10.1145/3712004</t>
  </si>
  <si>
    <t>https://doi.org/10.1145/3712004</t>
  </si>
  <si>
    <t>Today’s distributed and pervasive computing addresses large-scale cyber-physical ecosystems, characterised by dense and large networks of devices capable of computation, communication and interaction with the environment and people. While most research focuses on treating these systems as ‘composites’ (i.e., heterogeneous functional complexes), recent developments in fields such as self-organising systems and swarm robotics have opened up a complementary perspective: treating systems as ‘collectives’ (i.e., uniform, collaborative and self-organising groups of entities). This article explores the motivations, state of the art and implications of this ‘collective computing paradigm’ in software engineering. In particular, it discusses its peculiar challenges, implied by characteristics like distribution, situatedness, large scale and cooperative nature. These challenges outline significant directions for future research in software engineering, touching on aspects such as macro-programming, collective intelligence, self-adaptive middleware, learning/synthesis of collective behaviour, human involvement, safety and security in collective cyber-physical ecosystems.</t>
  </si>
  <si>
    <t>P-ACM-056</t>
  </si>
  <si>
    <t>A Systematic Review of IoT Security: Research Potential, Challenges, and Future Directions</t>
  </si>
  <si>
    <t>Fei, Wen; Ohno, Hiroyuki; Sampalli, Srinivas</t>
  </si>
  <si>
    <t>10.1145/3625094</t>
  </si>
  <si>
    <t>https://doi.org/10.1145/3625094</t>
  </si>
  <si>
    <t>The Internet of Things (IoT) encompasses a network of physical objects embedded with sensors, software, and data processing technologies that can establish connections and exchange data with other devices and systems via the Internet. IoT devices are incorporated into various products, ranging from ordinary household items to complex industrial appliances. Despite the increasing demand for IoT, security concerns have impeded its development. This article systematically reviews IoT security research, focusing on vulnerabilities, challenges, technologies, and future directions. It surveys 171 recent publications in the field, providing a comprehensive discussion on the development status, challenges, and solutions in IoT. The article outlines IoT architecture patterns and typical features, evaluates existing limitations, and explores strategies for enhancing IoT security. Additionally, the article delves into known IoT attacks and discusses the security countermeasures and mechanisms to address these challenges. It explores the functional requirements of IoT security and explores related technologies and standards. Finally, the article discusses potential future research directions in IoT security.</t>
  </si>
  <si>
    <t>P-ACM-057</t>
  </si>
  <si>
    <t>AI Agents Under Threat: A Survey of Key Security Challenges and Future Pathways</t>
  </si>
  <si>
    <t>Deng, Zehang; Guo, Yongjian; Han, Changzhou; Ma, Wanlun; Xiong, Junwu; Wen, Sheng; Xiang, Yang</t>
  </si>
  <si>
    <t>10.1145/3716628</t>
  </si>
  <si>
    <t>https://doi.org/10.1145/3716628</t>
  </si>
  <si>
    <t>An Artificial Intelligence (AI) agent is a software entity that autonomously performs tasks or makes decisions based on pre-defined objectives and data inputs. AI agents, capable of perceiving user inputs, reasoning and planning tasks, and executing actions, have seen remarkable advancements in algorithm development and task performance. However, the security challenges they pose remain under-explored and unresolved. This survey delves into the emerging security threats faced by AI agents, categorizing them into four critical knowledge gaps: unpredictability of multi-step user inputs, complexity in internal executions, variability of operational environments, and interactions with untrusted external entities. By systematically reviewing these threats, this article highlights both the progress made and the existing limitations in safeguarding AI agents. The insights provided aim to inspire further research into addressing the security threats associated with AI agents, thereby fostering the development of more robust and secure AI agent applications.</t>
  </si>
  <si>
    <t>P-ACM-058</t>
  </si>
  <si>
    <t>Empowering Agile-Based Generative Software Development through Human-AI Teamwork</t>
  </si>
  <si>
    <t>Zhang, Sai; Xing, Zhenchang; Guo, Ronghui; Xu, Fangzhou; Chen, Lei; Zhang, Zhaoyuan; Zhang, Xiaowang; Feng, Zhiyong; Zhuang, Zhiqiang</t>
  </si>
  <si>
    <t>10.1145/3702987</t>
  </si>
  <si>
    <t>https://doi.org/10.1145/3702987</t>
  </si>
  <si>
    <t>In software development, the raw requirements proposed by users are frequently incomplete, which impedes the complete implementation of software functionalities. With the emergence of large language models, the exploration of generating software through user requirements has attracted attention. Recent methods with the top-down waterfall model employ a questioning approach for requirement completion, attempting to explore further user requirements. However, users, constrained by their domain knowledge, result in a lack of effective acceptance criteria during the requirement completion, failing to fully capture the implicit needs of the user. Moreover, the cumulative errors of the waterfall model can lead to discrepancies between the generated code and user requirements. The Agile methodologies reduce cumulative errors of the waterfall model through lightweight iteration and collaboration with users, but the challenge lies in ensuring semantic consistency between user requirements and the code generated by the agent. To address these challenges, we propose AgileGen, an agile-based generative software development through human-AI teamwork. Unlike existing questioning agents, AgileGen adopts a novel collaborative approach that breaks free from the constraints of domain knowledge by initiating the end-user perspective to complete the acceptance criteria. By introducing the Gherkin language, AgileGen attempts for the first time to use testable requirement descriptions as a bridge for semantic consistency between requirements and code, aiming to ensure that software products meet actual user requirements by defining user scenarios that include acceptance criteria. Additionally, we innovate in the human-AI teamwork model, allowing users to participate in decision-making processes they do well and significantly enhancing the completeness of software functionality. To ensure semantic consistency between requirements and generated code, we derive consistency factors from Gherkin to drive the subsequent software code generation. Finally, to improve the reliability of user scenarios, we also introduce a memory pool mechanism, collecting user decision-making scenarios and recommending them to new users with similar requirements. AgileGen, as a user-friendly interactive system, significantly outperformed existing best methods by 16.4% and garnered higher user satisfaction.</t>
  </si>
  <si>
    <t>P-ACM-059</t>
  </si>
  <si>
    <t>TableTalk: Scaffolding Spreadsheet Development with a Language Agent</t>
  </si>
  <si>
    <t>Liang, Jenny T.; Kumar, Aayush; Bajpai, Yasharth; Gulwani, Sumit; Le, Vu; Parnin, Chris; Radhakrishna, Arjun; Tiwari, Ashish; Murphy-Hill, Emerson; Soares, Gustavo</t>
  </si>
  <si>
    <t>10.1145/3765286</t>
  </si>
  <si>
    <t>https://doi.org/10.1145/3765286</t>
  </si>
  <si>
    <t>Spreadsheet programming is challenging. Programmers use spreadsheet programming knowledge (e.g., formulas) and problem-solving skills to combine actions into complex tasks. Advancements in large language models have introduced language agents that observe, plan, and perform tasks, showing promise for spreadsheet creation. We present TableTalk, a spreadsheet programming agent embodying three design principles—scaffolding, flexibility, and incrementality—derived from studies with seven spreadsheet programmers and 85 Excel templates. TableTalk guides programmers through structured plans based on professional workflows, generating three potential next steps to adapt plans to programmer needs. It uses pre-defined tools to generate spreadsheet components and incrementally build spreadsheets. In a study with 20 programmers, TableTalk produced higher-quality spreadsheets 2.3 times more likely to be preferred than the baseline. It reduced cognitive load and thinking time by 12.6%. From this, we derive design guidelines for agentic spreadsheet programming tools and discuss implications on spreadsheet programming, end-user programming, AI-assisted programming, and human-agent collaboration.</t>
  </si>
  <si>
    <t>P-ACM-060</t>
  </si>
  <si>
    <t>Multi-Stream Scheduling of Inference Pipelines on Edge Devices - a DRL Approach</t>
  </si>
  <si>
    <t>Pereira, Danny; Ghosh, Sumana; Dey, Soumyajit</t>
  </si>
  <si>
    <t>10.1145/3677378</t>
  </si>
  <si>
    <t>https://doi.org/10.1145/3677378</t>
  </si>
  <si>
    <t>Low-power edge devices equipped with Graphics Processing Units (GPUs) are a popular target platform for real-time scheduling of inference pipelines. Such application-architecture combinations are popular in Advanced Driver-assistance Systems for aiding in the real-time decision-making of automotive controllers. However, the real-time throughput sustainable by such inference pipelines is limited by resource constraints of the target edge devices. Modern GPUs, both in edge devices and workstation variants, support the facility of concurrent execution of computation kernels and data transfers using the primitive of streams, also allowing for the assignment of priority to these streams. This opens up the possibility of executing computation layers of inference pipelines within a multi-priority, multi-stream environment on the GPU. However, manually co-scheduling such applications while satisfying their throughput requirement and platform memory budget may require an unmanageable number of profiling runs. In this work, we propose a Deep Reinforcement Learning (DRL)-based method for deciding the start time of various operations in each pipeline layer while optimizing the latency of execution of inference pipelines as well as memory consumption. Experimental results demonstrate the promising efficacy of the proposed DRL approach in comparison with the baseline methods, particularly in terms of real-time performance enhancements, schedulability ratio, and memory savings. We have additionally assessed the effectiveness of the proposed DRL approach using a real-time traffic simulation tool IPG CarMaker.</t>
  </si>
  <si>
    <t>P-ACM-061</t>
  </si>
  <si>
    <t>Toward Efficient Underwater Visual Perception through Image Enhancement, Compression, and Understanding</t>
  </si>
  <si>
    <t>Zhu, Rongxin; Sheng, Lei; Wu, Kaitao; Boukerche, Azzedine; Long, Libo; Yang, Qiuling</t>
  </si>
  <si>
    <t>10.1145/3779223</t>
  </si>
  <si>
    <t>https://doi.org/10.1145/3779223</t>
  </si>
  <si>
    <t>The growing demand for marine exploration, environmental monitoring, and autonomous underwater operations has elevated the role of underwater image processing in both research and practical applications. However, the acquisition and transmission of underwater visual data are fundamentally constrained by the harsh aquatic environment, where factors such as limited bandwidth, strong light scattering, color distortion, and complex noise severely degrade image quality and restrict data throughput. These challenges not only hinder real-time perception and decision-making but also affect the efficiency of data-driven tasks such as mapping, object recognition, and navigation. To address these issues, a broad spectrum of underwater image processing methods has emerged, aiming to enhance visual clarity, compress data for efficient transmission, restore degraded signals, and enable accurate scene understanding. This survey provides a structured and comprehensive review of existing techniques, categorizing them into four core domains: image enhancement, image restoration, image compression and segmentation, and image classification. Representative methods within each domain are critically analyzed in terms of their underlying principles, computational complexity, and applicability across diverse underwater scenarios. Furthermore, the survey highlights emerging trends including deep learning-based approaches, cross-modal information fusion, and resource-efficient designs, offering insights for future development in underwater visual computing and communication systems.</t>
  </si>
  <si>
    <t>P-ACM-062</t>
  </si>
  <si>
    <t>Unpacking Human-AI interactions: From Interaction Primitives to a Design Space</t>
  </si>
  <si>
    <t>Tsiakas, Konstantinos; Murray-Rust, Dave</t>
  </si>
  <si>
    <t>10.1145/3664522</t>
  </si>
  <si>
    <t>https://doi.org/10.1145/3664522</t>
  </si>
  <si>
    <t>This article aims to develop a semi-formal representation for Human-AI (HAI) interactions, by building a set of interaction primitives which can specify the information exchanges between users and AI systems during their interaction. We show how these primitives can be combined into a set of interaction patterns which can capture common interactions between humans and AI/ML models. The motivation behind this is twofold: firstly, to provide a compact generalization of existing practices for the design and implementation of HAI interactions; and secondly, to support the creation of new interactions by extending the design space of HAI interactions. Taking into consideration frameworks, guidelines, and taxonomies related to human-centered design and implementation of AI systems, we define a vocabulary for describing information exchanges based on the model’s characteristics and interactional capabilities. Based on this vocabulary, a message passing model for interactions between humans and models is presented, which we demonstrate can account for existing HAI interaction systems and approaches. Finally, we build this into design patterns which can describe common interactions between users and models, and we discuss how this approach can be used toward a design space for HAI interactions that creates new possibilities for designs as well as keeping track of implementation issues and concerns.</t>
  </si>
  <si>
    <t>P-ACM-063</t>
  </si>
  <si>
    <t>Against The Achilles' Heel: A Survey on Red Teaming for Generative Models</t>
  </si>
  <si>
    <t>Lin, Lizhi; Mu, Honglin; Zhai, Zenan; Wang, Minghan; Wang, Yuxia; Wang, Renxi; Gao, Junjie; Zhang, Yixuan; Che, Wanxiang; Baldwin, Timothy; Han, Xudong; Li, Haonan</t>
  </si>
  <si>
    <t>10.1613/jair.1.17654</t>
  </si>
  <si>
    <t>https://doi.org/10.1613/jair.1.17654</t>
  </si>
  <si>
    <t>Generative models are rapidly gaining popularity and being integrated into everyday applications, raising concerns over their safe use as various vulnerabilities are exposed. In light of this, the field of red teaming is undergoing fast-paced growth, highlighting the need for a comprehensive survey covering the entire pipeline and addressing emerging topics. Our extensive survey, which examines over 120 papers, introduces a taxonomy of fine-grained attack strategies grounded in the inherent capabilities of language models. Additionally, we have developed the “searcher” framework to unify various automatic red teaming approaches. Moreover, our survey covers novel areas including multimodal attacks and defenses, risks around LLM-based agents, overkill of harmless queries, and the balance between harmlessness and helpfulness. Warning: This paper contains examples that may be offensive, harmful, or biased.</t>
  </si>
  <si>
    <t>P-ACM-064</t>
  </si>
  <si>
    <t>Monitoring Teams of AI Agents</t>
  </si>
  <si>
    <t>Ray, Korok</t>
  </si>
  <si>
    <t>10.1613/jair.1.19798</t>
  </si>
  <si>
    <t>https://doi.org/10.1613/jair.1.19798</t>
  </si>
  <si>
    <t>Background: Generative AI agents will need to work together, which requires monitoring and managing their performance. Objectives: The chief objective of this paper is to understand the joint design choice of the number of agents and their rewards. Methods: We study this problem in a theoretical framework of optimal incentives, where a system designer (principal) selects the environment in which multiple autonomous decentralized AI agents work together. These agents respond to incentives, such as rewards and penalties. We first consider a principal who selects the size of the agent team in addition to their incentives. Results: We prove a general result that the optimal team size will vary with the parameters of the environment, but the optimal incentives will not. This invariance property shows that agents should have different-sized teams on work projects rather than differing financial incentives. Conclusions: We show these results are robust to a more general framework, where the principal employs a supervisory AI agent to manage the tasks of the underlying AI team. Finally, we propose different levels of quality for the supervisory and worker agents, and find that it is efficient to match the best supervisors with the best worker agents.</t>
  </si>
  <si>
    <t>P-ACM-065</t>
  </si>
  <si>
    <t>Specifying protocols for multi-agent systems interaction</t>
  </si>
  <si>
    <t>Poslad, Stefan</t>
  </si>
  <si>
    <t>10.1145/1293731.1293735</t>
  </si>
  <si>
    <t>https://doi.org/10.1145/1293731.1293735</t>
  </si>
  <si>
    <t>Multi-Agent-Systems or MAS represent a powerful distributed computing model, enabling agents to cooperate and complete with each other and to exchange both semantic content and a semantic context to more automatically and accurately interpret the content. Many types of individual agent and MAS models have been proposed since the mid-1980s, but the majority of these have led to single developer homogeneous MAS systems. For over a decade, the FIPA standards activity has worked to produce public MAS specifications, acting as a key enabler to support interoperability, open service interaction, and to support heterogeneous development. The main characteristics of the FIPA model for MAS and an analysis of design, design choices and features of the model is presented. In addition, a comparison of the FIPA model for system interoperability versus those of other standards bodies is presented, along with a discussion of the current status of FIPA and future directions.</t>
  </si>
  <si>
    <t>P-ACM-066</t>
  </si>
  <si>
    <t>ClassEval-T: Evaluating Large Language Models in Class-Level Code Translation</t>
  </si>
  <si>
    <t>Xue, Pengyu; Wu, Linhao; Yang, Zhen; Wang, Chengyi; Li, Xiang; Zhang, Yuxiang; Li, Jia; Jin, Ruikai; Pei, Yifei; Shen, Zhaoyan; Lyu, Xiran; Keung, Jacky Wai</t>
  </si>
  <si>
    <t>10.1145/3728940</t>
  </si>
  <si>
    <t>https://doi.org/10.1145/3728940</t>
  </si>
  <si>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</si>
  <si>
    <t>P-ACM-067</t>
  </si>
  <si>
    <t>Towards Lifelong Learning of Large Language Models: A Survey</t>
  </si>
  <si>
    <t>Zheng, Junhao; Qiu, Shengjie; Shi, Chengming; Ma, Qianli</t>
  </si>
  <si>
    <t>10.1145/3716629</t>
  </si>
  <si>
    <t>https://doi.org/10.1145/3716629</t>
  </si>
  <si>
    <t>As the applications of large language models (LLMs) expand across diverse fields, their ability to adapt to ongoing changes in data, tasks, and user preferences becomes crucial. Traditional training methods with static datasets are inadequate for coping with the dynamic nature of real-world information. Lifelong learning, or continual learning, addresses this by enabling LLMs to learn continuously and adapt over their operational lifetime, integrating new knowledge while retaining previously learned information and preventing catastrophic forgetting. Our survey explores the landscape of lifelong learning, categorizing strategies into two groups based on how new knowledge is integrated: Internal Knowledge, where LLMs absorb new knowledge into their parameters through full or partial training, and External Knowledge, which incorporates new knowledge as external resources such as Wikipedia or APIs without updating model parameters. The key contributions of our survey include: (1) introducing a novel taxonomy to categorize the extensive literature of lifelong learning into 12 scenarios; (2) identifying common techniques across all lifelong learning scenarios and classifying existing literature into various technique groups; (3) highlighting emerging techniques such as model expansion and data selection, which were less explored in the pre-LLM era. Resources are available at .</t>
  </si>
  <si>
    <t>P-ACM-068</t>
  </si>
  <si>
    <t>Active Learning for Effectively Fine-Tuning Transfer Learning to Downstream Task</t>
  </si>
  <si>
    <t>Bashar, Md Abul; Nayak, Richi</t>
  </si>
  <si>
    <t>10.1145/3446343</t>
  </si>
  <si>
    <t>https://doi.org/10.1145/3446343</t>
  </si>
  <si>
    <t>Language model (LM) has become a common method of transfer learning in Natural Language Processing (NLP) tasks when working with small labeled datasets. An LM is pretrained using an easily available large unlabelled text corpus and is fine-tuned with the labelled data to apply to the target (i.e., downstream) task. As an LM is designed to capture the linguistic aspects of semantics, it can be biased to linguistic features. We argue that exposing an LM model during fine-tuning to instances that capture diverse semantic aspects (e.g., topical, linguistic, semantic relations) present in the dataset will improve its performance on the underlying task. We propose a Mixed Aspect Sampling (MAS) framework to sample instances that capture different semantic aspects of the dataset and use the ensemble classifier to improve the classification performance. Experimental results show that MAS performs better than random sampling as well as the state-of-the-art active learning models to abuse detection tasks where it is hard to collect the labelled data for building an accurate classifier.</t>
  </si>
  <si>
    <t>P-ACM-069</t>
  </si>
  <si>
    <t>Collaborative Scheduling of Time-dependent UAVs, Vehicles and Workers for Crowdsensing in Disaster Response</t>
  </si>
  <si>
    <t>Han, Lei; Zhang, Jinhao; Liu, Jinhui; Yu, Zhiyong; Wang, Liang; Wang, Quan; Yu, Zhiwen</t>
  </si>
  <si>
    <t>10.1145/3770664</t>
  </si>
  <si>
    <t>https://doi.org/10.1145/3770664</t>
  </si>
  <si>
    <t>Frequent natural disasters cause significant losses to human society, and timely, efficient collection of post-disaster environmental information is the foundation for effective rescue operations. Due to the extreme complexity of post-disaster environments, existing sensing technologies such as mobile crowdsensing suffer from weak environmental adaptability, insufficient professional sensing capabilities, and poor practicality of sensing solutions. Therefore, this paper explores a heterogeneous multi-agent online collaborative scheduling algorithm, HoCs-MPQ, to achieve efficient collection of post-disaster environmental information. HoCs-MPQ models collaboration and conflict relationships among multiple elements through weighted undirected graph construction, and iteratively solves the maximum weight independent set based on multi-priority queues, ultimately achieving collaborative sensing scheduling of time-dependent UAVs, vehicles, and workers. Specifically, (1) HoCs-MPQ constructs weighted undirected graph nodes based on collaborative relationships among multiple elements and quantifies their weights, then models the weighted undirected graph based on conflict relationships between nodes; (2) HoCs-MPQ solves the maximum weight independent set based on iterated local search, and accelerates the solution process using multi-priority queues. Finally, we conducted detailed experiments based on extensive real-world and simulated data. The experiments show that, compared to baseline methods (e.g., HoCs-GREEDY, HoCs-K-WTA, HoCs-MADL, and HoCs-MARL), HoCs-MPQ improves task completion rates by an average of 54.13%, 23.82%, 14.12%, and 12.89% respectively, with computation time for single online autonomous scheduling decisions not exceeding 3 seconds.</t>
  </si>
  <si>
    <t>P-ACM-070</t>
  </si>
  <si>
    <t>A Computer-Assisted Translation and Writing System</t>
  </si>
  <si>
    <t>Huang, Chung-Chi; Chen, Mei-Hua; Yang, Ping-Che; Chang, Jason S.</t>
  </si>
  <si>
    <t>10.1145/2505984</t>
  </si>
  <si>
    <t>https://doi.org/10.1145/2505984</t>
  </si>
  <si>
    <t>We introduce a method for learning to predict text and grammatical construction in a computer-assisted translation and writing framework. In our approach, predictions are offered on the fly to help the user make appropriate lexical and grammar choices during the translation of a source text, thus improving translation quality and productivity. The method involves automatically generating general-to-specific word usage summaries (i.e., writing suggestion module), and automatically learning high-confidence word- or phrase-level translation equivalents (i.e., translation suggestion module). At runtime, the source text and its translation prefix entered by the user are broken down into n-grams to generate grammar and translation predictions, which are further combined and ranked via translation and language models. These ranked prediction candidates are iteratively and interactively displayed to the user in a pop-up menu as translation or writing hints. We present a prototype writing assistant, TransAhead, that applies the method to a human-computer collaborative environment. Automatic and human evaluations show that novice translators or language learners substantially benefit from our system in terms of translation performance (i.e., translation accuracy and productivity) and language learning (i.e., collocation usage and grammar). In general, our methodology of inline grammar and text predictions or suggestions has great potential in the field of computer-assisted translation, writing, or even language learning.</t>
  </si>
  <si>
    <t>P-ACM-071</t>
  </si>
  <si>
    <t>Workload Shifting Techniques: From Digital Inebriation to Sobriety</t>
  </si>
  <si>
    <t>Tirel, Nicolas; Roose, Philippe; Ilarri, Sergio; Noureddine, Adel; Le Goa\"{e}r, Olivier</t>
  </si>
  <si>
    <t>10.1145/3769301</t>
  </si>
  <si>
    <t>https://doi.org/10.1145/3769301</t>
  </si>
  <si>
    <t>Computing demand in cloud environments has grown exponentially over the past decade, due to the increase in cloud workload related to new services such as artificial intelligence, autonomous vehicles, augmented reality, etc. As a result, the ICT sector has seen its carbon emissions increase. It is possible to adopt less energy-intensive strategies and consume electricity produced by renewable energy to limit the increase in carbon emissions. In this article, we present a review of the workload-shifting techniques available for sustainable workload deployment, providing an innovative framework that can be used to analyze energy-aware approaches that apply any type of shifting technique. We identified three main concepts: compute a workload at a different time, deploy a workload and/or its data in a different location, or use alternative processing to provide a good-enough option for a workload. A definition and some examples are given for each shifting concept, and then we explore the opportunities and challenges of combining different shifting techniques.</t>
  </si>
  <si>
    <t>P-ACM-072</t>
  </si>
  <si>
    <t>Feature Selection as Deep Sequential Generative Learning</t>
  </si>
  <si>
    <t>Ying, Wangyang; Wang, Dongjie; Chen, Haifeng; Fu, Yanjie</t>
  </si>
  <si>
    <t>10.1145/3687485</t>
  </si>
  <si>
    <t>https://doi.org/10.1145/3687485</t>
  </si>
  <si>
    <t>Feature selection aims to identify the most pattern-discriminative feature subset. In prior literature, filter (e.g., backward elimination) and embedded (e.g., LASSO) methods have hyperparameters (e.g., top-k, score thresholding) and tie to specific models, thus, hard to generalize; wrapper methods search a feature subset in a huge discrete space and is computationally costly. To transform the way of feature selection, we regard a selected feature subset as a selection decision token sequence and reformulate feature selection as a deep sequential generative learning task that distills feature knowledge and generates decision sequences. Our method includes three steps: (1) We develop a deep variational transformer model over a joint of sequential reconstruction, variational, and performance evaluator losses. Our model can distill feature selection knowledge and learn a continuous embedding space to map feature selection decision sequences into embedding vectors associated with utility scores. (2) We leverage the trained feature subset utility evaluator as a gradient provider to guide the identification of the optimal feature subset embedding; (3) We decode the optimal feature subset embedding to autoregressively generate the best feature selection decision sequence with autostop. Extensive experimental results show this generative perspective is effective and generic, without large discrete search space and expert-specific hyperparameters. The code is available at .</t>
  </si>
  <si>
    <t>P-ACM-073</t>
  </si>
  <si>
    <t>Macro Ethics Principles for Responsible AI Systems: Taxonomy and Directions</t>
  </si>
  <si>
    <t>Woodgate, Jessica; Ajmeri, Nirav</t>
  </si>
  <si>
    <t>10.1145/3672394</t>
  </si>
  <si>
    <t>https://doi.org/10.1145/3672394</t>
  </si>
  <si>
    <t>Responsible AI must be able to make or support decisions that consider human values and can be justified by human morals. Accommodating values and morals in responsible decision making is supported by adopting a perspective of macro ethics, which views ethics through a holistic lens incorporating social context. Normative ethical principles inferred from philosophy can be used to methodically reason about ethics and make ethical judgements in specific contexts. Operationalising normative ethical principles thus promotes responsible reasoning under the perspective of macro ethics. We survey AI and computer science literature and develop a taxonomy of 21 normative ethical principles which can be operationalised in AI. We describe how each principle has previously been operationalised, highlighting key themes that AI practitioners seeking to implement ethical principles should be aware of. We envision that this taxonomy will facilitate the development of methodologies to incorporate normative ethical principles in reasoning capacities of responsible AI systems.</t>
  </si>
  <si>
    <t>P-ACM-074</t>
  </si>
  <si>
    <t>AI for DevSecOps: A Landscape and Future Opportunities</t>
  </si>
  <si>
    <t>Fu, Michael; Pasuksmit, Jirat; Tantithamthavorn, Chakkrit</t>
  </si>
  <si>
    <t>10.1145/3712190</t>
  </si>
  <si>
    <t>https://doi.org/10.1145/3712190</t>
  </si>
  <si>
    <t>DevOps has emerged as one of the most rapidly evolving software development paradigms. With the growing concerns surrounding security in software systems, the DevSecOps paradigm has gained prominence, urging practitioners to incorporate security practices seamlessly into the DevOps workflow. However, integrating security into the DevOps workflow can impact agility and impede delivery speed. Recently, the advancement of artificial intelligence (AI) has revolutionized automation in various software domains, including software security. AI-driven security approaches, particularly those leveraging machine learning or deep learning, hold promise in automating security workflows. They have the potential to reduce manual efforts and can be incorporated into DevOps practices to support consistent delivery speed while aligning with the principles of the DevSecOps paradigm. This article seeks to contribute to the critical intersection of AI and DevSecOps by presenting a comprehensive landscape of AI-driven security techniques applicable to DevOps and identifying avenues for enhancing security, trust, and efficiency in software development processes. We analyzed 99 research papers spanning from 2017 to 2023. Specifically, we address two key research questions (RQs). In RQ1, we identified 12 security tasks associated with the DevSecOps process and reviewed existing AI-driven security approaches, the problems they addressed, and the 65 benchmarks used to evaluate those approaches. Drawing insights from our findings, in RQ2, we discussed state-of-the-art AI-driven security approaches, highlighted 15 challenges in existing research, and proposed 15 corresponding avenues for future opportunities.</t>
  </si>
  <si>
    <t>P-ACM-075</t>
  </si>
  <si>
    <t>EiAP-BC: A Novel Emoji Aware Inter-Attention Pair Model for Contextual Spam Comment Detection Based on Posting Text</t>
  </si>
  <si>
    <t>Chrismanto, Antonius Rachmat; Winarko, Edi; Suyanto, Yohanes</t>
  </si>
  <si>
    <t>10.1145/3696663</t>
  </si>
  <si>
    <t>https://doi.org/10.1145/3696663</t>
  </si>
  <si>
    <t>Detecting spam comments on social media remains a continuously discussed research topic to this day, especially on public figure/celebrity accounts in Indonesia. However, the previous studies only focused on the comments themselves, without considering the context of the posting and the use of emojis in social media. This study proposes a new deep learning model called EiAP-BC (Emoji-aware Inter-Attention Pair BiLSTM CNN) for spam comment detection through a novel approach that considers the contextual information of the posts, enabling the detection of spam comments using the relatedness between the comment and its corresponding post that is usually discarded. This model can also handle emoji content in comments and posts, which is widely used in social media. The model was tested using the SPAMID-PAIR dataset created from social media in the Indonesian language, achieving the highest accuracy of 88% and performing competitively with existing deep learning models. To assess its generalization capabilities, the EiAP-BC model was also evaluated using similar public datasets and models in sentence-pair classification tasks, and an ablation study was conducted to determine the importance of each layer and its coordination. The EiAP-BC model exhibits several advantages in size, training speed, and parameter count compared to existing state-of-the-art models.</t>
  </si>
  <si>
    <t>P-ACM-076</t>
  </si>
  <si>
    <t>X-squatter: AI Multilingual Generation of Cross-Language Sound-squatting</t>
  </si>
  <si>
    <t>Valentim, Rodolfo Vieira; Drago, Idilio; Mellia, Marco; Cerutti, Federico</t>
  </si>
  <si>
    <t>10.1145/3663569</t>
  </si>
  <si>
    <t>https://doi.org/10.1145/3663569</t>
  </si>
  <si>
    <t>Sound-squatting is a squatting technique that exploits similarities in word pronunciation to trick users into accessing malicious resources. It is an understudied threat that has gained traction with the popularity of smart speakers and audio-only content, such as podcasts. The picture gets even more complex when multiple languages are involved. We here introduce X-squatter, a multi- and cross-language AI-based system that relies on a Transformer Neural Network for generating high-quality sound-squatting candidates. We illustrate the use of X-squatter by searching for domain name squatting abuse across hundreds of millions of issued TLS certificates, alongside other squatting types. Key findings unveil that approximately 15% of generated sound-squatting candidates have associated TLS certificates, well above the prevalence of other squatting types (7%). Furthermore, we employ X-squatter to assess the potential for abuse in PyPI packages, revealing the existence of hundreds of candidates within a 3-year package history. Notably, our results suggest that the current platform checks cannot handle sound-squatting attacks, calling for better countermeasures. We believe X-squatter uncovers the usage of multilingual sound-squatting phenomena on the Internet and it is a crucial asset for proactive protection against the threat.</t>
  </si>
  <si>
    <t>P-ACM-077</t>
  </si>
  <si>
    <t>Unsupervised Framing Analysis for Social Media Discourse in Polarizing Events</t>
  </si>
  <si>
    <t>Sarmiento, Hernan; C\'{o}rdova, Ricardo; Ortiz, Jorge; Bravo-Marquez, Felipe; Santos, Marcelo; Valenzuela, Sebasti\'{a}n</t>
  </si>
  <si>
    <t>10.1145/3711912</t>
  </si>
  <si>
    <t>https://doi.org/10.1145/3711912</t>
  </si>
  <si>
    <t>This study investigates the concept of frames in the realm of online polarization, with a focus on social media platforms. The research extends the understanding of how frames–emerging, complex, and often subtle concepts–become prominent in online conversations that are polarized. The study proposes a comprehensive methodology for identifying and characterizing these frames, integrating machine learning techniques, network analysis algorithms, and natural language processing tools. This method aims for generalizability across multiple platforms and types of user engagement. Two novel metrics, homogeneity and relevancy are introduced for the rigorous evaluation of identified frame candidates.Grounded in several foundational presumptions, including the role of topics and multi-word expressions in framing, the study sheds light on how frames emerge and gain significance within digital communities. The research questions explored include the methods for identifying frames, the variability and significance of these frames, and the effectiveness of different computational techniques in this context.To validate the approach, we present a case study of the 2021 Chilean presidential election, using data from both (mathbb {X}) (formerly known as Twitter) and WhatsApp platforms. This real-world application allows for the examination of how frames fluctuate in response to events and the specific mechanisms of platforms. Overall, the study makes several key contributions to the field, offering new insights and methodologies for analyzing the complexities of online polarization. It serves as groundwork for future research on the dynamics of online communities, especially those associated with distinctly polarized events.</t>
  </si>
  <si>
    <t>P-ACM-078</t>
  </si>
  <si>
    <t>Cross-Utterance Conditioned VAE for Speech Generation</t>
  </si>
  <si>
    <t>Li, Yang; Yu, Cheng; Sun, Guangzhi; Zu, Weiqin; Tian, Zheng; Wen, Ying; Pan, Wei; Zhang, Chao; Wang, Jun; Yang, Yang; Sun, Fanglei</t>
  </si>
  <si>
    <t>10.1109/TASLP.2024.3453598</t>
  </si>
  <si>
    <t>https://doi.org/10.1109/TASLP.2024.3453598</t>
  </si>
  <si>
    <t>Speech synthesis systems powered by neural networks hold promise for multimedia production, but frequently face issues with producing expressive speech and seamless editing. In response, we present the Cross-Utterance Conditioned Variational Autoencoder speech synthesis (CUC-VAE S2) framework to enhance prosody and ensure natural speech generation. This framework leverages the powerful representational capabilities of pre-trained language models and the re-expression abilities of variational autoencoders (VAEs). The core component of the CUC-VAE S2 framework is the cross-utterance CVAE, which extracts acoustic, speaker, and textual features from surrounding sentences to generate context-sensitive prosodic features, more accurately emulating human prosody generation. We further propose two practical algorithms tailored for distinct speech synthesis applications: CUC-VAE TTS for text-to-speech and CUC-VAE SE for speech editing. The CUC-VAE TTS is a direct application of the framework, designed to generate audio with contextual prosody derived from surrounding texts. On the other hand, the CUC-VAE SE algorithm leverages real mel spectrogram sampling conditioned on contextual information, producing audio that closely mirrors real sound and thereby facilitating flexible speech editing based on text such as deletion, insertion, and replacement. Experimental results on the LibriTTS datasets demonstrate that our proposed models significantly enhance speech synthesis and editing, producing more natural and expressive speech.</t>
  </si>
  <si>
    <t>P-ACM-079</t>
  </si>
  <si>
    <t>How Hard Can It Be? Quantifying MITRE Attack Campaigns with Attack Trees and cATM Logic</t>
  </si>
  <si>
    <t>Nicoletti, Stefano M.; Lopuha\"{a}-Zwakenberg, Milan; Stoelinga, Mari\"{e}lle; Massacci, Fabio; Budde, Carlos E.</t>
  </si>
  <si>
    <t>10.1145/3789665</t>
  </si>
  <si>
    <t>https://doi.org/10.1145/3789665</t>
  </si>
  <si>
    <t>In the cyber threats landscape, Advanced Persistent Threats carry out attack campaigns—e.g. operations Dream Job, Wocao, and WannaCry—against which cybersecurity practitioners must defend. To prioritise which of these to defend against, experts must be equipped with the ability to evaluate the most threatening ones: they would strongly benefit from (a) an estimation of the likelihood values for each attack recorded in the wild, and (b) transparently operationalising these values to compare campaigns quantitatively. Here we construct such a framework: (1) quantifying the likelihood of attack campaigns via data-driven procedures on the MITRE knowledge-base, (2) introducing a methodology for automatic modelling of MITRE intelligence data, that captures any attack campaign via template attack tree models, and (3) proposing an open-source tool to perform these comparisons based on the cATM logic. Finally, we quantify the likelihood of all MITRE Enterprise campaigns, and compare the likelihood of the Wocao and Dream Job MITRE campaigns—generated with our proposed approach—against manually-built attack tree models. We demonstrate how our methodology is substantially lighter in modelling effort, and capable of capturing all the quantitative relevant data. To ensure broader applicability, further validation with cybersecurity experts is recommended, especially by sourcing more manually-built models.</t>
  </si>
  <si>
    <t>P-ACM-080</t>
  </si>
  <si>
    <t>An Overview of Indian Spoken Language Recognition from Machine Learning Perspective</t>
  </si>
  <si>
    <t>Dey, Spandan; Sahidullah, Md; Saha, Goutam</t>
  </si>
  <si>
    <t>10.1145/3523179</t>
  </si>
  <si>
    <t>https://doi.org/10.1145/3523179</t>
  </si>
  <si>
    <t>Automatic spoken language identification (LID) is a very important research field in the era of multilingual voice-command-based human-computer interaction. A front-end LID module helps to improve the performance of many speech-based applications in the multilingual scenario. India is a populous country with diverse cultures and languages. The majority of the Indian population needs to use their respective native languages for verbal interaction with machines. Therefore, the development of efficient Indian spoken language recognition systems is useful for adapting smart technologies in every section of Indian society. The field of Indian LID has started gaining momentum since the early 2000s, mainly due to the development of several standard multilingual speech corpora for the Indian languages. Even though significant research progress has already been made in this field, to the best of our knowledge, there are not many attempts to analytically review them collectively. In this work, we have conducted one of the very first attempts to present a comprehensive review of the Indian spoken language recognition research field. In-depth analysis has been presented to emphasize the unique challenges of low-resource and mutual influences for developing LID systems in the Indian contexts. Several essential aspects of the Indian LID research, such as the detailed description of the available speech corpora, the major research contributions, including the earlier attempts based on statistical modeling to the recent approaches based on different neural network architectures, and the future research trends are discussed. This review work will help assess the state of the present Indian LID research by any active researcher or any research enthusiasts from related fields.</t>
  </si>
  <si>
    <t>RQ3; RQ5; RQ6</t>
  </si>
  <si>
    <t>P-ACM-081</t>
  </si>
  <si>
    <t>Bringing java's wild native world under control</t>
  </si>
  <si>
    <t>Sun, Mengtao; Tan, Gang; Siefers, Joseph; Zeng, Bin; Morrisett, Greg</t>
  </si>
  <si>
    <t>10.1145/2535505</t>
  </si>
  <si>
    <t>https://doi.org/10.1145/2535505</t>
  </si>
  <si>
    <t>For performance and for incorporating legacy libraries, many Java applications contain native-code components written in unsafe languages such as C and C++. Native-code components interoperate with Java components through the Java Native Interface (JNI). As native code is not regulated by Java's security model, it poses serious security threats to the managed Java world. We introduce a security framework that extends Java's security model and brings native code under control. Leveraging software-based fault isolation, the framework puts native code in a separate sandbox and allows the interaction between the native world and the Java world only through a carefully designed pathway. Two different implementations were built. In one implementation, the security framework is integrated into a Java Virtual Machine (JVM). In the second implementation, the framework is built outside of the JVM and takes advantage of JVM-independent interfaces. The second implementation provides JVM portability, at the expense of some performance degradation. Evaluation of our framework demonstrates that it incurs modest runtime overhead while significantly enhancing the security of Java applications.</t>
  </si>
  <si>
    <t>P-ACM-082</t>
  </si>
  <si>
    <t>The Explanation That Hits Home: The Characteristics of Verbal Explanations That Affect Human Perception in Subjective Decision-Making</t>
  </si>
  <si>
    <t>Ferguson, Sharon; Aoyagui, Paula Akemi; Rizvi, Rimsha; Kim, Young-Ho; Kuzminykh, Anastasia</t>
  </si>
  <si>
    <t>10.1145/3687056</t>
  </si>
  <si>
    <t>https://doi.org/10.1145/3687056</t>
  </si>
  <si>
    <t>Human-AI collaborative decision-making can achieve better outcomes than either party individually. The success of this collaboration can depend on whether the human decision-maker perceives the AI contribution as beneficial to the decision-making process. Beneficial AI explanations are often described as relevant, convincing, and trustworthy. Yet, we know little about the characteristics of explanations that result in these perceptions. Focusing on collaborative subjective decision-making, using the context of subtle sexism, where explanations can surface new interpretations, we conducted a user study (N=20) to explore the structural and content characteristics that affect perceptions of human and AI-generated verbal (text and audio) explanations. We find four groups of characteristics (Tone, Grammatical Elements, Argumentative Sophistication and Relation to User), and that the effect of these characteristics on the perception of explanations for subtle sexism depends on the perceived author. Thus, we also identify which explanation characteristics participants use to identify the author of an explanation. Demonstrating the relationship between these characteristics and explanation perceptions, we present a categorized set of characteristics that system builders can leverage to produce the appropriate perception of an explanation for various sensitive contexts. We also highlight human perception biases and associated issues resulting from these perceptions.</t>
  </si>
  <si>
    <t>P-ACM-083</t>
  </si>
  <si>
    <t>AI Consent Futures: A Case Study on Voice Data Collection with Clinicians</t>
  </si>
  <si>
    <t>Wilcox, Lauren; Brewer, Robin; Diaz, Fernando</t>
  </si>
  <si>
    <t>10.1145/3610107</t>
  </si>
  <si>
    <t>https://doi.org/10.1145/3610107</t>
  </si>
  <si>
    <t>As new forms of data capture emerge to power new AI applications, questions abound about the ethical implications of these data collection practices. In this paper, we present clinicians' perspectives on the prospective benefits and harms of voice data collection during health consultations. Such data collection is being proposed as a means to power models to assist clinicians with medical data entry, administrative tasks, and consultation analysis. Yet, clinicians' attitudes and concerns are largely absent from the AI narratives surrounding these use cases, and the academic literature investigating them. Our qualitative interview study used the concept of an informed consent process as a type of design fiction, to support elicitation of clinicians' perspectives on voice data collection and use associated with a fictional, near-term AI assistant. Through reflexive thematic analysis of in-depth sessions with physicians, we distilled eight classes of potential risks that clinicians are concerned about, including workflow disruptions, self-censorship, and errors that could impact patient eligibility for services. We conclude with an in-depth discussion of these prospective risks, reflect on the use of the speculative processes that illuminated them, and reconsider evaluation criteria for AI-assisted clinical documentation technologies in light of our findings.</t>
  </si>
  <si>
    <t>P-ACM-084</t>
  </si>
  <si>
    <t>Visual Question Answering: A Survey of Methods, Datasets, Evaluation, and Challenges</t>
  </si>
  <si>
    <t>Kim, Byeong Su; Kim, Jieun; Lee, Deokwoo; Jang, Beakcheol</t>
  </si>
  <si>
    <t>10.1145/3728635</t>
  </si>
  <si>
    <t>https://doi.org/10.1145/3728635</t>
  </si>
  <si>
    <t>Visual question answering (VQA) is a dynamic field of research that aims to generate textual answers from given visual and question information. It is a multimodal field that has garnered significant interest from the computer vision and natural language processing communities. Furthermore, recent advances in these fields have yielded numerous achievements in VQA research. In VQA research, achieving balanced learning that avoids bias toward either visual or question information is crucial. The primary challenge in VQA lies in eliminating noise, while utilizing valuable and accurate information from different modalities. Various research methodologies have been developed to address these issues. In this study, we classify these research methods into three categories: Joint Embedding, Attention Mechanism, and Model-agnostic methods. We analyze the advantages, disadvantages, and limitations of each approach. In addition, we trace the evolution of datasets in VQA research, categorizing them into three types: Real Image, Synthetic Image, and Unbiased datasets. This study also provides an overview of evaluation metrics based on future research directions. Finally, we discuss future research and application directions for VQA research. We anticipate that this survey will offer useful perspectives and essential information to researchers and practitioners seeking to address visual questions effectively.</t>
  </si>
  <si>
    <t>P-ACM-085</t>
  </si>
  <si>
    <t>Coranking the Future Influence of Multiobjects in Bibliographic Network Through Mutual Reinforcement</t>
  </si>
  <si>
    <t>Wang, Senzhang; Xie, Sihong; Zhang, Xiaoming; Li, Zhoujun; Yu, Philip S.; He, Yueying</t>
  </si>
  <si>
    <t>10.1145/2897371</t>
  </si>
  <si>
    <t>https://doi.org/10.1145/2897371</t>
  </si>
  <si>
    <t>Scientific literature ranking is essential to help researchers find valuable publications from a large literature collection. Recently, with the prevalence of webpage ranking algorithms such as PageRank and HITS, graph-based algorithms have been widely used to iteratively rank papers and researchers through the networks formed by citation and coauthor relationships. However, existing graph-based ranking algorithms mostly focus on ranking the current importance of literature. For researchers who enter an emerging research area, they might be more interested in new papers and young researchers that are likely to become influential in the future, since such papers and researchers are more helpful in letting them quickly catch up on the most recent advances and find valuable research directions. Meanwhile, although some works have been proposed to rank the prestige of a certain type of objects with the help of multiple networks formed of multiobjects, there still lacks a unified framework to rank multiple types of objects in the bibliographic network simultaneously. In this article, we propose a unified ranking framework MRCoRank to corank the future popularity of four types of objects: papers, authors, terms, and venues through mutual reinforcement. Specifically, because the citation data of new publications are sparse and not efficient to characterize their innovativeness, we make the first attempt to extract the text features to help characterize innovative papers and authors. With the observation that the current trend is more indicative of the future trend of citation and coauthor relationships, we then construct time-aware weighted graphs to quantify the importance of links established at different times on both citation and coauthor graphs. By leveraging both the constructed text features and time-aware graphs, we finally fuse the rich information in a mutual reinforcement ranking framework to rank the future importance of multiobjects simultaneously. We evaluate the proposed model through extensive experiments on the ArnetMiner dataset containing more than 1,500,000 papers. Experimental results verify the effectiveness of MRCoRank in coranking the future influence of multiobjects in a bibliographic network.</t>
  </si>
  <si>
    <t>P-ACM-086</t>
  </si>
  <si>
    <t>DeepScribe: Localization and Classification of Elamite Cuneiform Signs via Deep Learning</t>
  </si>
  <si>
    <t>Williams, Edward C.; Su, Grace; Schloen, Sandra R.; Prosser, Miller; Paulus, Susanne; Krishnan, Sanjay</t>
  </si>
  <si>
    <t>10.1145/3716850</t>
  </si>
  <si>
    <t>https://doi.org/10.1145/3716850</t>
  </si>
  <si>
    <t>Twenty-five hundred years ago, the “paperwork” of the Achaemenid Empire was recorded on clay tablets. In 1933, archaeologists from the University of Chicago’s Institute for the Study of Ancient Cultures (ISAC, formerly Oriental Institute) found tens of thousands of these tablets and fragments during the excavation of Persepolis. Many of these tablets have been painstakingly photographed and annotated by expert cuneiformists, and now provide a rich dataset consisting of over 5,000 annotated tablet images and 100,000 cuneiform sign bounding boxes encoding the Elamite language. We leverage this dataset to develop DeepScribe, the first computer vision pipeline capable of localizing Elamite cuneiform signs and providing suggestions for the identity of each sign. We investigate the difficulty of learning subtasks relevant to Elamite cuneiform tablet transcription on ground-truth data, finding that a RetinaNet object detector achieves a localization mAP of 0.78 and a ResNet classifier achieves a top-5 sign classification accuracy of 0.89. The end-to-end pipeline achieves a top-5 classification accuracy of 0.80. As part of the classification module, DeepScribe groups cuneiform signs into morphological clusters. We consider how this automatic clustering approach differs from the organization of standard, printed sign lists and what we learn from it. These components, trained individually, are sufficient to produce a system that can analyze photos of cuneiform tablets from the Achaemenid period and provide useful transliteration suggestions to researchers. We evaluate the model’s end-to-end performance on locating and classifying signs, providing a roadmap to a linguistically aware transliteration system, then consider the model’s potential utility when applied to other periods of cuneiform writing.</t>
  </si>
  <si>
    <t>P-ACM-087</t>
  </si>
  <si>
    <t>Security and Privacy Issues in Deep Reinforcement Learning: Threats and Countermeasures</t>
  </si>
  <si>
    <t>Mo, Kanghua; Ye, Peigen; Ren, Xiaojun; Wang, Shaowei; Li, Wenjun; Li, Jin</t>
  </si>
  <si>
    <t>10.1145/3640312</t>
  </si>
  <si>
    <t>https://doi.org/10.1145/3640312</t>
  </si>
  <si>
    <t>Deep Reinforcement Learning (DRL) is an essential subfield of Artificial Intelligence (AI), where agents interact with environments to learn policies for solving complex tasks. In recent years, DRL has achieved remarkable breakthroughs in various tasks, including video games, robotic control, quantitative trading, and autonomous driving. Despite its accomplishments, security and privacy-related issues still prevent us from deploying trustworthy DRL applications. For example, by manipulating the environment, an attacker can influence an agent’s actions, misleading it to behave abnormally. Additionally, an attacker can infer private training data and environmental information by maliciously interacting with DRL models, causing a privacy breach. In this survey, we systematically investigate the recent progress of security and privacy issues in the context of DRL. First, we present a holistic review of security-related attacks within DRL systems from the perspectives of single-agent and multi-agent systems and review privacy-related attacks. Second, we review and classify defense methods used to address security-related challenges, including robust learning, anomaly detection, and game theory approaches. Third, we review and classify privacy-preserving technologies, including encryption, differential privacy, and policy confusion. We conclude the survey by discussing open issues and possible directions for future research in this field.</t>
  </si>
  <si>
    <t>P-ACM-088</t>
  </si>
  <si>
    <t>Do Words Have Power? Understanding and Fostering Civility in Code Review Discussion</t>
  </si>
  <si>
    <t>Rahman, Md Shamimur; Codabux, Zadia; Roy, Chanchal K.</t>
  </si>
  <si>
    <t>10.1145/3660780</t>
  </si>
  <si>
    <t>https://doi.org/10.1145/3660780</t>
  </si>
  <si>
    <t>Modern Code Review (MCR) is an integral part of the software development process where developers improve product quality through collaborative discussions. Unfortunately, these discussions can sometimes become heated by the presence of inappropriate behaviors such as personal attacks, insults, disrespectful comments, and derogatory conduct, often referred to as incivility. While researchers have extensively explored such incivility in various public domains, our understanding of its causes, consequences, and courses of action remains limited within the professional context of software development, specifically within code review discussions. To bridge this gap, our study draws upon the experience of 171 professional software developers representing diverse development practices across different geographical regions. Our findings reveal that more than half of these developers 56.72% have encountered instances of workplace incivility, and a substantial portion of that group 83.70% reported experiencing such incidents at least once a month. We also identified various causes, positive and negative consequences, and potential courses of action for uncivil communication. Moreover, to address the negative aspects of incivility, we propose a model for promoting civility that detects uncivil comments during communication and provides alternative civil suggestions while preserving the original comments’ semantics, enabling developers to engage in respectful and constructive discussions. An in-depth analysis of 2K uncivil review comments using eight different evaluation metrics and a manual evaluation suggested that our proposed approach could generate civil alternatives significantly compared to the state-of-the-art politeness and detoxification models. Moreover, a survey involving 36 developers who used our civility model reported its effectiveness in enhancing online development interactions, fostering better relationships, increasing contributor involvement, and expediting development processes. Our research is a pioneer in generating civil alternatives for uncivil discussions in software development, opening new avenues for research in collaboration and communication within the software engineering context.</t>
  </si>
  <si>
    <t>P-ACM-089</t>
  </si>
  <si>
    <t>Developing a Multimodal Classroom Engagement Analysis Dashboard for Higher-Education</t>
  </si>
  <si>
    <t>Sabuncuoglu, Alpay; Sezgin, T. Metin</t>
  </si>
  <si>
    <t>10.1145/3593240</t>
  </si>
  <si>
    <t>https://doi.org/10.1145/3593240</t>
  </si>
  <si>
    <t>Developing learning analytics dashboards (LADs) is a growing research interest as online learning tools have become more accessible in K-12 and higher education settings. This paper reports our multimodal classroom engagement data analysis and dashboard design process and the resulting engagement dashboard. Our work stems from the importance of monitoring classroom engagement, which refers to students' active physical and cognitive involvement in learning that influences their motivation and success in a given course. To monitor this vital facade of learning, we developed an engagement dashboard using an iterative and user-centered process. We first created a multimodal machine learning model that utilizes face and pose features obtained from recent deep learning models. Then, we created a dashboard where users can view their engagement over time and discover their learning/teaching patterns. Finally, we conducted user studies with undergraduate and graduate-level participants to obtain feedback on our dashboard design. Our paper makes three contributions by (1) presenting a student-centric, open-source dashboard, (2) demonstrating a baseline architecture for engagement analysis using our open-access data, and (3) presenting user insights and design takeaways to inspire future LADs. We expect our research to guide the development of tools for novice teacher education, student self-evaluation, and engagement evaluation in crowded classrooms.</t>
  </si>
  <si>
    <t>P-ACM-090</t>
  </si>
  <si>
    <t>Benchmarks for Automated Commonsense Reasoning: A Survey</t>
  </si>
  <si>
    <t>Davis, Ernest</t>
  </si>
  <si>
    <t>10.1145/3615355</t>
  </si>
  <si>
    <t>https://doi.org/10.1145/3615355</t>
  </si>
  <si>
    <t>More than one hundred benchmarks have been developed to test the commonsense knowledge and commonsense reasoning abilities of artificial intelligence (AI) systems. However, these benchmarks are often flawed, and many aspects of common sense remain untested. Consequently, there is currently no reliable way of measuring to what extent existing AI systems have achieved these abilities.This article surveys the development and uses of AI commonsense benchmarks. It enumerates 139 commonsense benchmarks that have been developed: 102 text-based, 18 image-based, 12 video-based, and 7 based in simulated physical environments. It gives more detailed descriptions of twelve of these, three from each category. It surveys the various methods used to construct commonsense benchmarks. It discusses the nature of common sense, the role of common sense in AI, the goals served by constructing commonsense benchmarks, desirable features of commonsense benchmarks, and flaws and gap in existing benchmarks. It concludes with a number of recommendations for future development of commonsense AI benchmarks; most importantly, that the creators of benchmarks invest the work needed to ensure that benchmark examples are consistently high quality.</t>
  </si>
  <si>
    <t>P-ACM-091</t>
  </si>
  <si>
    <t>Deep Modular Co-Attention Shifting Network for Multimodal Sentiment Analysis</t>
  </si>
  <si>
    <t>Shi, Piao; Hu, Min; Shi, Xuefeng; Ren, Fuji</t>
  </si>
  <si>
    <t>10.1145/3634706</t>
  </si>
  <si>
    <t>https://doi.org/10.1145/3634706</t>
  </si>
  <si>
    <t>Human Multimodal Sentiment Analysis (MSA) is an attractive research that studies sentiment expressed from multiple heterogeneous modalities. While transformer-based methods have achieved great success, designing an effective “co-attention” model to associate text modality with nonverbal modalities remains challenging. There are two main problems: 1) the dominant role of the text in modalities is underutilization, and 2) the interaction between modalities is not sufficiently explored. This paper proposes a deep modular Co-Attention Shifting Network (CoASN) for MSA. A Cross-modal Modulation Module based on Co-attention (CMMC) and an Advanced Modality-mixing Adaptation Gate (AMAG) are constructed. The CMMC consists of the Text-guided Co-Attention (TCA) and Interior Transformer Encoder (ITE) units to capture inter-modal features and intra-modal features. With text modality as the core, the CMMC module aims to guide and promote the expression of emotion in nonverbal modalities, and the nonverbal modalities increase the richness of the text-based multimodal sentiment information. In addition, the AMAG module is introduced to explore the dynamical correlations among all modalities. Particularly, this efficient module first captures the nonverbal shifted representations and then combines them to calculate the shifted word embedding representations for the final MSA tasks. Extensive experiments on two commonly used datasets, CMU-MOSI and CMU-MOSEI, demonstrate that our proposed method is superior to the state-of-the-art performance.</t>
  </si>
  <si>
    <t>P-ACM-092</t>
  </si>
  <si>
    <t>Video Description: A Survey of Methods, Datasets, and Evaluation Metrics</t>
  </si>
  <si>
    <t>Aafaq, Nayyer; Mian, Ajmal; Liu, Wei; Gilani, Syed Zulqarnain; Shah, Mubarak</t>
  </si>
  <si>
    <t>10.1145/3355390</t>
  </si>
  <si>
    <t>https://doi.org/10.1145/3355390</t>
  </si>
  <si>
    <t>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t>
  </si>
  <si>
    <t>P-ACM-093</t>
  </si>
  <si>
    <t>On the testability of BDI agent systems</t>
  </si>
  <si>
    <t>Winikoff, Michael; Cranefield, Stephen</t>
  </si>
  <si>
    <t>Before deploying a software system we need to assure ourselves (and stakeholders) that the system will behave correctly. This assurance is usually done by testing the system. However, it is intuitively obvious that adaptive systems, including agent-based systems, can exhibit complex behaviour, and are thus harder to test. In this paper we examine this "obvious intuition" in the case of Belief-Desire-Intention (BDI) agents. We analyse the size of the behaviour space of BDI agents and show that although the intuition is correct, the factors that influence the size are not what we expected them to be. Specifically, we found that the introduction of failure handling had a much larger effect on the size of the behaviour space than we expected. We also discuss the implications of these findings on the testability of BDI agents.</t>
  </si>
  <si>
    <t>P-ACM-094</t>
  </si>
  <si>
    <t>MT-teql: evaluating and augmenting neural NLIDB on real-world linguistic and schema variations</t>
  </si>
  <si>
    <t>Ma, Pingchuan; Wang, Shuai</t>
  </si>
  <si>
    <t>10.14778/3494124.3494139</t>
  </si>
  <si>
    <t>https://doi.org/10.14778/3494124.3494139</t>
  </si>
  <si>
    <t>Natural Language Interface to Database (NLIDB) translates human utterances into SQL queries and enables database interactions for non-expert users. Recently, neural network models have become a major approach to implementing NLIDB. However, neural NLIDB faces challenges due to variations in natural language and database schema design. For instance, one user intent or database conceptual model can be expressed in various forms. However, existing benchmarks, using hold-out datasets, cannot provide thorough understanding of how good neural NLIDBs really are in real-world situations and its robustness against such variations. A key difficulty is to annotate SQL queries for inputs under real-world variations, requiring considerable manual effort and expert knowledge.To systematically assess the robustness of neural NLIDBs without extensive manual effort, we propose MT-Teql, a unified framework to benchmark NLIDBs against real-world language and schema variations. Inspired by recent advances in DBMS metamorphic testing, MT-Teql implements semantics-preserving transformations on utterances and database schemas to generate their variants. NLIDBs can thus be examined for robustness utilizing utterances/schemas and their variants without requiring manual intervention.We benchmarked nine neural NLIDBs using 62,430 inputs and identified 15,433 defects. We analyzed potential root causes of defects and conducted a user study to show how MT-Teql can assist developers to systematically assess NLIDBs. We further show that the transformed (error-triggering) inputs can be used to augment popular NLIDBs and eliminate 46.5%(±5.0%) errors made by them without compromising their accuracy on standard benchmarks. We summarize lessons from this study that can provide insights to select and design NLIDBs that fit particular usage scenarios.</t>
  </si>
  <si>
    <t>P-ACM-095</t>
  </si>
  <si>
    <t>Multimodular Text Normalization of Dutch User-Generated Content</t>
  </si>
  <si>
    <t>Schulz, Sarah; Pauw, Guy De; Clercq, Orph\'{e}e De; Desmet, Bart; Hoste, V\'{e}ronique; Daelemans, Walter; Macken, Lieve</t>
  </si>
  <si>
    <t>10.1145/2850422</t>
  </si>
  <si>
    <t>https://doi.org/10.1145/2850422</t>
  </si>
  <si>
    <t>As social media constitutes a valuable source for data analysis for a wide range of applications, the need for handling such data arises. However, the nonstandard language used on social media poses problems for natural language processing (NLP) tools, as these are typically trained on standard language material. We propose a text normalization approach to tackle this problem. More specifically, we investigate the usefulness of a multimodular approach to account for the diversity of normalization issues encountered in user-generated content (UGC). We consider three different types of UGC written in Dutch (SNS, SMS, and tweets) and provide a detailed analysis of the performance of the different modules and the overall system. We also apply an extrinsic evaluation by evaluating the performance of a part-of-speech tagger, lemmatizer, and named-entity recognizer before and after normalization.</t>
  </si>
  <si>
    <t>RQ3; RQ5</t>
  </si>
  <si>
    <t>P-ACM-096</t>
  </si>
  <si>
    <t>A Domain-Specific Language and Editor for Parallel Particle Methods</t>
  </si>
  <si>
    <t>Karol, Sven; Nett, Tobias; Castrillon, Jeronimo; Sbalzarini, Ivo F.</t>
  </si>
  <si>
    <t>10.1145/3175659</t>
  </si>
  <si>
    <t>https://doi.org/10.1145/3175659</t>
  </si>
  <si>
    <t>Domain-specific languages (DSLs) are of increasing importance in scientific high-performance computing to reduce development costs, raise the level of abstraction, and, thus, ease scientific programming. However, designing DSLs is not easy, as it requires knowledge of the application domain and experience in language engineering and compilers. Consequently, many DSLs follow a weak approach using macros or text generators, which lack many of the features that make a DSL comfortable for programmers. Some of these features—e.g., syntax highlighting, type inference, error reporting—are easily provided by language workbenches, which combine language engineering techniques and tools in a common ecosystem. In this article, we present the Parallel Particle-Mesh Environment (PPME), a DSL and development environment for numerical simulations based on particle methods and hybrid particle-mesh methods. PPME uses the Meta Programming System, a projectional language workbench. PPME is the successor of the Parallel Particle-Mesh Language, a Fortran-based DSL that uses conventional implementation strategies. We analyze and compare both languages and demonstrate how the programmer’s experience is improved using static analyses and projectional editing, i.e., code-structure editing, constrained by syntax, as opposed to free-text editing. We present an explicit domain model for particle abstractions and the first formal type system for particle methods.</t>
  </si>
  <si>
    <t>P-ACM-097</t>
  </si>
  <si>
    <t>xDBTagger: explainable natural language interface to databases using keyword mappings and schema graph</t>
  </si>
  <si>
    <t>Usta, Arif; Karakayali, Akifhan; Ulusoy, \"{O}zg\"{u}r</t>
  </si>
  <si>
    <t>10.1007/s00778-023-00809-w</t>
  </si>
  <si>
    <t>https://doi.org/10.1007/s00778-023-00809-w</t>
  </si>
  <si>
    <t>Recently, numerous studies have been proposed to attack the natural language interfaces to data-bases (NLIDB) problem by researchers either as a conventional pipeline-based or an end-to-end deep-learning-based solution. Although each approach has its own advantages and drawbacks, regardless of the approach preferred, both approaches exhibit black-box nature, which makes it difficult for potential users to comprehend the rationale behind the decisions made by the intelligent system to produce the translated SQL. Given that NLIDB targets users with little to no technical background, having interpretable and explainable solutions becomes crucial, which has been overlooked in the recent studies. To this end, we propose xDBTagger, an explainable hybrid translation pipeline that explains the decisions made along the way to the user both textually and visually. We also evaluate xDBTagger quantitatively in three real-world relational databases. The evaluation results indicate that in addition to being lightweight, fast, and fully explainable, xDBTagger is also competitive in terms of translation accuracy compared to both pipeline-based and end-to-end deep learning approaches.</t>
  </si>
  <si>
    <t>P-ACM-098</t>
  </si>
  <si>
    <t>The AI-Based Cyber Threat Landscape: A Survey</t>
  </si>
  <si>
    <t>Kaloudi, Nektaria; Li, Jingyue</t>
  </si>
  <si>
    <t>10.1145/3372823</t>
  </si>
  <si>
    <t>https://doi.org/10.1145/3372823</t>
  </si>
  <si>
    <t>Recent advancements in artificial intelligence (AI) technologies have induced tremendous growth in innovation and automation. Although these AI technologies offer significant benefits, they can be used maliciously. Highly targeted and evasive attacks in benign carrier applications, such as DeepLocker, have demonstrated the intentional use of AI for harmful purposes. Threat actors are constantly changing and improving their attack strategy with particular emphasis on the application of AI-driven techniques in the attack process, called AI-based cyber attack, which can be used in conjunction with conventional attack techniques to cause greater damage. Despite several studies on AI and security, researchers have not summarized AI-based cyber attacks enough to be able to understand the adversary’s actions and to develop proper defenses against such attacks. This study aims to explore existing studies of AI-based cyber attacks and to map them onto a proposed framework, providing insight into new threats. Our framework includes the classification of several aspects of malicious uses of AI during the cyber attack life cycle and provides a basis for their detection to predict future threats. We also explain how to apply this framework to analyze AI-based cyber attacks in a hypothetical scenario of a critical smart grid infrastructure.</t>
  </si>
  <si>
    <t>P-ACM-099</t>
  </si>
  <si>
    <t>A General Model for Aggregating Annotations Across Simple, Complex, and Multi-Object Annotation Tasks</t>
  </si>
  <si>
    <t>Braylan, Alexander; Marabella, Madalyn; Alonso, Omar; Lease, Matthew</t>
  </si>
  <si>
    <t>10.1613/jair.1.14388</t>
  </si>
  <si>
    <t>https://doi.org/10.1613/jair.1.14388</t>
  </si>
  <si>
    <t>Human annotations are vital to supervised learning, yet annotators often disagree on the correct label, especially as annotation tasks increase in complexity. A common strategy to improve label quality is to ask multiple annotators to label the same item and then aggregate their labels. To date, many aggregation models have been proposed for simple categorical or numerical annotation tasks, but far less work has considered more complex annotation tasks, such as those involving open-ended, multivariate, or structured responses. Similarly, while a variety of bespoke models have been proposed for specific tasks, our work is the first we are aware of to introduce aggregation methods that generalize across many, diverse complex tasks, including sequence labeling, translation, syntactic parsing, ranking, bounding boxes, and keypoints. This generality is achieved by applying readily available task-specific distance functions, then devising a task-agnostic method to model these distances between labels, rather than the labels themselves. This article presents a unified treatment of our prior work on complex annotation modeling and extends that work with investigation of three new research questions. First, how do complex annotation task and dataset properties impact aggregation accuracy? Second, how should a task owner navigate the many modeling choices in order to maximize aggregation accuracy? Finally, what tests and diagnoses can verify that aggregation models are specified correctly for the given data? To understand how various factors impact accuracy and to inform model selection, we conduct large-scale simulation studies and broad experiments on real, complex datasets. Regarding testing, we introduce the concept of unit tests for aggregation models and present a suite of such tests to ensure that a given model is not mis-specified and exhibits expected behavior. Beyond investigating these research questions above, we discuss the foundational concept and nature of annotation complexity, present a new aggregation model as a conceptual bridge between traditional models and our own, and contribute a new general semisupervised learning method for complex label aggregation that outperforms prior work.</t>
  </si>
  <si>
    <t>P-ACM-100</t>
  </si>
  <si>
    <t>Arabic Cross-Language Information Retrieval: A Review</t>
  </si>
  <si>
    <t>Elayeb, Bilel; Bounhas, Ibrahim</t>
  </si>
  <si>
    <t>10.1145/2789210</t>
  </si>
  <si>
    <t>https://doi.org/10.1145/2789210</t>
  </si>
  <si>
    <t>Cross-language information retrieval (CLIR) deals with retrieving relevant documents in one language using queries expressed in another language. As CLIR tools rely on translation techniques, they are challenged by the properties of highly derivational and flexional languages like Arabic. Much work has been done on CLIR for different languages including Arabic. In this article, we introduce the reader to the motivations for solving some problems related to Arabic CLIR approaches. The evaluation of these approaches is discussed starting from the 2001 and 2002 TREC Arabic CLIR tracks, which aim to objectively evaluate CLIR systems. We also study many other research works to highlight the unresolved problems or those that require further investigation. These works are discussed in the light of a deep study of the specificities and the tasks of Arabic information retrieval (IR). Particular attention is given to translation techniques and CLIR resources, which are key issues challenging Arabic CLIR. To push research in this field, we discuss how a new standard collection can improve Arabic IR and CLIR tracks.</t>
  </si>
  <si>
    <t>P-ACM-101</t>
  </si>
  <si>
    <t>Georeferencing Wikipedia Documents Using Data from Social Media Sources</t>
  </si>
  <si>
    <t>Laere, Olivier Van; Schockaert, Steven; Tanasescu, Vlad; Dhoedt, Bart; Jones, Christopher B.</t>
  </si>
  <si>
    <t>10.1145/2629685</t>
  </si>
  <si>
    <t>https://doi.org/10.1145/2629685</t>
  </si>
  <si>
    <t>Social media sources such as Flickr and Twitter continuously generate large amounts of textual information (tags on Flickr and short messages on Twitter). This textual information is increasingly linked to geographical coordinates, which makes it possible to learn how people refer to places by identifying correlations between the occurrence of terms and the locations of the corresponding social media objects. Recent work has focused on how this potentially rich source of geographic information can be used to estimate geographic coordinates for previously unseen Flickr photos or Twitter messages. In this article, we extend this work by analysing to what extent probabilistic language models trained on Flickr and Twitter can be used to assign coordinates to Wikipedia articles. Our results show that exploiting these language models substantially outperforms both (i) classical gazetteer-based methods (in particular, using Yahoo! Placemaker and Geonames) and (ii) language modelling approaches trained on Wikipedia alone. This supports the hypothesis that social media are important sources of geographic information, which are valuable beyond the scope of individual applications.</t>
  </si>
  <si>
    <t>P-ACM-102</t>
  </si>
  <si>
    <t>Process Analytics Approach for R&amp;D Project Selection</t>
  </si>
  <si>
    <t>Silva, Thushari; Jian, Ma; Chen, Yang</t>
  </si>
  <si>
    <t>10.1145/2629436</t>
  </si>
  <si>
    <t>https://doi.org/10.1145/2629436</t>
  </si>
  <si>
    <t>R&amp;D project selection plays an important role in government funding agencies, as allocation of billions of dollars among the proposals deemed highly influential and contributive solely depend on it. Efficacious assignment of reviewers is one of the most critical processes that controls the quality of the entire project selection and also has a serious implication on business profit. Current methods that focus on workflow automation are more efficient than manual assignment; however, they are not effective, as they fail to consider the real insight of core tasks. Other decision models that analyze core tasks are effective but inefficient when handling large amounts of submissions, and they suffer from irrelevant assignment. Furthermore, they largely ignore real deep insight of back-end data such as quality of the reviewers (e.g., quality and citation impact of their produced research) and the effect of social relationships in project selection processes that are essential for identifying reviewers for interdisciplinary proposal evaluation. In light of these deficiencies, this research proposes a novel hybrid process analytics approach to decompose the complex reviewer assignment process into manageable subprocesses and applies data-driven decision models cum process analytics systematically from a triangular perspective via the research analytics framework to achieve high operational efficiencies and high-quality assignment. It also analyzes big data from scientific databases and generates visualized decision-ready information to support effective decision making. The proposed approach has been implemented to aid the project selection process of the largest funding agency in China and has been tested. The test results show that the proposed approach has the potential to add great benefits, including cost saving, improved effectiveness, and increased business value.</t>
  </si>
  <si>
    <t>P-ACM-103</t>
  </si>
  <si>
    <t>Unveiling Transformative Insights via Cross-Modal Learning and Natural Language Processing for Enhanced Supply Chain Intelligence</t>
  </si>
  <si>
    <t>Wu, Xiaobing</t>
  </si>
  <si>
    <t>10.1145/3687306</t>
  </si>
  <si>
    <t>https://doi.org/10.1145/3687306</t>
  </si>
  <si>
    <t>This day's quickly developing business landscape, supply chains have become more globalized, intricate, and multi-covering, making them crucial for companies to navigate through disruptions and unpredictability. The major which are addressed in the supply chain process are lack of transparency and visibility of the supply chain network and that's leads to delay and inefficiency in the process. In order to overcome those drawbacks in the supply chain process, in this article an enhanced supply chain intelligence is developed which performs Unveiling Transformative Insights using the learning process like Cross-Modal Learning (CML) and Natural Language Processing (NLP). The implementation of these techniques is carried out in the software Python. This analysis consists of certain calculation called enhanced supply chain analysis, sales revenue Vs SKU analysis, various modes cost analysis, Lead time vs different supplier and location. The comparative analysis is performed among the technique like RF regression, SARIMA-LSTM-BP and BiLSTM model. The parameters which are involved in this performance analysis are MAE, MSE, RMSE and R^2.</t>
  </si>
  <si>
    <t>P-ACM-104</t>
  </si>
  <si>
    <t>Synthesizing Implication Lemmas for Interactive Theorem Proving</t>
  </si>
  <si>
    <t>Brendel, Ana; Sivaraman, Aishwarya; Millstein, Todd</t>
  </si>
  <si>
    <t>10.1145/3763131</t>
  </si>
  <si>
    <t>https://doi.org/10.1145/3763131</t>
  </si>
  <si>
    <t>Interactive theorem provers (ITP) enable programmers to formally verify properties of their software systems. One burden for users of ITPs is identifying the necessary helper lemmas to complete a proof, for example those that define key inductive invariants. Existing approaches to lemma synthesis for ITPs have limited, if any, support for synthesizing implications: lemmas of the form P1 ∧ ⋯ ∧ Pn ⇒ Q. In this paper, we propose a technique and associated tool for synthesizing useful implication lemmas. Our approach employs a form of data-driven invariant inference to explore strengthenings of the current proof state, based on sample valuations of the current goal and assumptions. We have implemented our approach in a Rocq tactic called dilemma. We demonstrate its effectiveness in synthesizing necessary helper lemmas for proofs from the Verified Functional Algorithms textbook as well as from prior benchmark suites for lemma synthesis.</t>
  </si>
  <si>
    <t>P-ACM-105</t>
  </si>
  <si>
    <t>Relational term-suggestion graphs incorporating multipartite concept and expertise networks</t>
  </si>
  <si>
    <t>Shieh, Jyh-Ren; Lin, Ching-Yung; Wang, Shun-Xuan; Wu, Ja-Ling</t>
  </si>
  <si>
    <t>10.1145/2542182.2542201</t>
  </si>
  <si>
    <t>https://doi.org/10.1145/2542182.2542201</t>
  </si>
  <si>
    <t>Term suggestions recommend query terms to a user based on his initial query. Suggesting adequate terms is a challenging issue. Most existing commercial search engines suggest search terms based on the frequency of prior used terms that match the leading alphabets the user types. In this article, we present a novel mechanism to construct semantic term-relation graphs to suggest relevant search terms in the semantic level. We built term-relation graphs based on multipartite networks of existing social media, especially from Wikipedia. The multipartite linkage networks of contributor-term, term-category, and term-term are extracted from Wikipedia to eventually form term relation graphs. For fusing these multipartite linkage networks, we propose to incorporate the contributor-category networks to model the expertise of the contributors. Based on our experiments, this step has demonstrated clear enhancement on the accuracy of the inferred relatedness of the term-semantic graphs. Experiments on keyword-expanded search based on 200 TREC-5 ad-hoc topics showed obvious advantage of our algorithms over existing approaches.</t>
  </si>
  <si>
    <t>P-ACM-106</t>
  </si>
  <si>
    <t>Explaining Natural Language query results</t>
  </si>
  <si>
    <t>Deutch, Daniel; Frost, Nave; Gilad, Amir</t>
  </si>
  <si>
    <t>10.1007/s00778-019-00584-7</t>
  </si>
  <si>
    <t>https://doi.org/10.1007/s00778-019-00584-7</t>
  </si>
  <si>
    <t>Multiple lines of research have developed Natural Language (NL) interfaces for formulating database queries. We build upon this work, but focus on presenting a highly detailed form of the answers in NL. The answers that we present are importantly based on the provenance of tuples in the query result, detailing not only the results but also their explanations. We develop a novel method for transforming provenance information to NL, by leveraging the original NL query structure. Furthermore, since provenance information is typically large and complex, we present two solutions for its effective presentation as NL text: one that is based on provenance factorization, with novel desiderata relevant to the NL case and one that is based on summarization. We have implemented our solution in an end-to-end system supporting questions, answers and provenance, all expressed in NL. Our experiments, including a user study, indicate the quality of our solution and its scalability.</t>
  </si>
  <si>
    <t>P-ACM-107</t>
  </si>
  <si>
    <t>Discriminative Training for Log-Linear Based SMT: Global or Local Methods</t>
  </si>
  <si>
    <t>Liu, Lemao; Zhao, Tiejun; Watanabe, Taro; Cao, Hailong; Zhu, Conghui</t>
  </si>
  <si>
    <t>10.1145/2637478</t>
  </si>
  <si>
    <t>https://doi.org/10.1145/2637478</t>
  </si>
  <si>
    <t>In statistical machine translation, the standard methods such as MERT tune a single weight with regard to a given development data. However, these methods suffer from two problems due to the diversity and uneven distribution of source sentences. First, their performance is highly dependent on the choice of a development set, which may lead to an unstable performance for testing. Second, the sentence level translation quality is not assured since tuning is performed on the document level rather than on sentence level. In contrast with the standard global training in which a single weight is learned, we propose novel local training methods to address these two problems. We perform training and testing in one step by locally learning the sentence-wise weight for each input sentence. Since the time of each tuning step is unnegligible and learning sentence-wise weights for the entire test set means many passes of tuning, it is a great challenge for the efficiency of local training. We propose an efficient two-phase method to put the local training into practice by employing the ultraconservative update. On NIST Chinese-to-English translation tasks with both medium and large scales of training data, our local training methods significantly outperform standard methods with the maximal improvements up to 2.0 BLEU points, meanwhile their efficiency is comparable to that of the standard methods.</t>
  </si>
  <si>
    <t>P-ACM-108</t>
  </si>
  <si>
    <t>Using targeted paraphrasing and monolingual crowdsourcing to improve translation</t>
  </si>
  <si>
    <t>Resnik, Philip; Buzek, Olivia; Kronrod, Yakov; Hu, Chang; Quinn, Alexander J.; Bederson, Benjamin B.</t>
  </si>
  <si>
    <t>10.1145/2483669.2483671</t>
  </si>
  <si>
    <t>https://doi.org/10.1145/2483669.2483671</t>
  </si>
  <si>
    <t>Targeted paraphrasing is a new approach to the problem of obtaining cost-effective, reasonable quality translation, which makes use of simple and inexpensive human computations by monolingual speakers in combination with machine translation. The key insight behind the process is that it is possible to spot likely translation errors with only monolingual knowledge of the target language, and it is possible to generate alternative ways to say the same thing (i.e., paraphrases) with only monolingual knowledge of the source language. Formal evaluation demonstrates that this approach can yield substantial improvements in translation quality, and the idea has been integrated into a broader framework for monolingual collaborative translation that produces fully accurate, fully fluent translations for a majority of sentences in a real-world translation task, with no involvement of human bilingual speakers.</t>
  </si>
  <si>
    <t>P-ACM-109</t>
  </si>
  <si>
    <t>Who, Where, When, and What: A Nonparametric Bayesian Approach to Context-aware Recommendation and Search for Twitter Users</t>
  </si>
  <si>
    <t>Yuan, Quan; Cong, Gao; Zhao, Kaiqi; Ma, Zongyang; Sun, Aixin</t>
  </si>
  <si>
    <t>10.1145/2699667</t>
  </si>
  <si>
    <t>https://doi.org/10.1145/2699667</t>
  </si>
  <si>
    <t>Micro-blogging services and location-based social networks, such as Twitter, Weibo, and Foursquare, enable users to post short messages with timestamps and geographical annotations. The rich spatial-temporal-semantic information of individuals embedded in these geo-annotated short messages provides exciting opportunity to develop many context-aware applications in ubiquitous computing environments. Example applications include contextual recommendation and contextual search. To obtain accurate recommendations and most relevant search results, it is important to capture users’ contextual information (e.g., time and location) and to understand users’ topical interests and intentions. While time and location can be readily captured by smartphones, understanding user’s interests and intentions calls for effective methods in modeling user mobility behavior. Here, user mobility refers to who visits which place at what time for what activity. That is, user mobility behavior modeling must consider user (Who), spatial (Where), temporal (When), and activity (What) aspects. Unfortunately, no previous studies on user mobility behavior modeling have considered all of the four aspects jointly, which have complex interdependencies. In our preliminary study, we propose the first solution named W4 (short for Who, Where, When, and What) to discover user mobility behavior from the four aspects. In this article, we further enhance W4 and propose a nonparametric Bayesian model named EW4 (short for Enhanced W4). EW4 requires no parameter tuning and achieves better results over W4 in our experiments. Given some of the four aspects of a user (e.g., time), our model is able to infer information of the other aspects (e.g., location and topical words). Thus, our model has a variety of context-aware applications, particularly in contextual search and recommendation. Experimental results on two real-world datasets show that the proposed model is effective in discovering users’ spatial-temporal topics. The model also significantly outperforms state-of-the-art baselines for various tasks including location prediction for tweets and requirement-aware location recommendation.</t>
  </si>
  <si>
    <t>P-ACM-110</t>
  </si>
  <si>
    <t>Advantage of deep neural networks for estimating functions with singularity on hypersurfaces</t>
  </si>
  <si>
    <t>Imaizumi, Masaaki; Fukumizu, Kenji</t>
  </si>
  <si>
    <t>We develop a minimax rate analysis to describe the reason that deep neural networks (DNNs) perform better than other standard methods. For nonparametric regression problems, it is well known that many standard methods attain the minimax optimal rate of estimation errors for smooth functions, and thus, it is not straightforward to identify the theoretical advantages of DNNs. This study tries to _ll this gap by considering the estimation for a class of non-smooth functions that have singularities on hypersurfaces. Our findings are as follows: (i) We derive the generalization error of a DNN estimator and prove that its convergence rate is almost optimal. (ii) We elucidate a phase diagram of estimation problems, which describes the situations where the DNNs outperform a general class of estimators, including kernel methods, Gaussian process methods, and others. We additionally show that DNNs outperform harmonic analysis based estimators. This advantage of DNNs comes from the fact that a shape of singularity can be successfully handled by their multi-layered structure.</t>
  </si>
  <si>
    <t>P-ACM-111</t>
  </si>
  <si>
    <t>Filtered Pseudo-parallel Corpus Improves Low-resource Neural Machine Translation</t>
  </si>
  <si>
    <t>Imankulova, Aizhan; Sato, Takayuki; Komachi, Mamoru</t>
  </si>
  <si>
    <t>10.1145/3341726</t>
  </si>
  <si>
    <t>https://doi.org/10.1145/3341726</t>
  </si>
  <si>
    <t>Large-scale parallel corpora are essential for training high-quality machine translation systems; however, such corpora are not freely available for many language translation pairs. Previously, training data has been augmented by pseudo-parallel corpora obtained by using machine translation models to translate monolingual corpora into the source language. However, in low-resource language pairs, in which only low-accurate machine translation systems can be used, translation quality degrades when a pseudo-parallel corpus is naively used. To improve machine translation performance with low-resource language pairs, we propose a method to effectively expand the training data via filtering the pseudo-parallel corpus using quality estimation based on sentence-level round-trip translation. For experiments with three language pairs that utilized small, medium, and large size parallel corpora, BLEU scores significantly improved for low-resource language pairs. Additionally, the effects of iterative bootstrapping on translation performance quality is investigated; resultingly, it is confirmed that bootstrapping can further improve the translation performance.</t>
  </si>
  <si>
    <t>P-ACM-112</t>
  </si>
  <si>
    <t>Spoken dialogue technology: enabling the conversational user interface</t>
  </si>
  <si>
    <t>McTear, Michael F.</t>
  </si>
  <si>
    <t>10.1145/505282.505285</t>
  </si>
  <si>
    <t>https://doi.org/10.1145/505282.505285</t>
  </si>
  <si>
    <t>Spoken dialogue systems allow users to interact with computer-based applications such as databases and expert systems by using natural spoken language. The origins of spoken dialogue systems can be traced back to Artificial Intelligence research in the 1950s concerned with developing conversational interfaces. However, it is only within the last decade or so, with major advances in speech technology, that large-scale working systems have been developed and, in some cases, introduced into commercial environments. As a result many major telecommunications and software companies have become aware of the potential for spoken dialogue technology to provide solutions in newly developing areas such as computer-telephony integration. Voice portals, which provide a speech-based interface between a telephone user and Web-based services, are the most recent application of spoken dialogue technology. This article describes the main components of the technology---speech recognition, language understanding, dialogue management, communication with an external source such as a database, language generation, speech synthesis---and shows how these component technologies can be integrated into a spoken dialogue system. The article describes in detail the methods that have been adopted in some well-known dialogue systems, explores different system architectures, considers issues of specification, design, and evaluation, reviews some currently available dialogue development toolkits, and outlines prospects for future development.</t>
  </si>
  <si>
    <t>RQ1; RQ2</t>
  </si>
  <si>
    <t>P-ACM-113</t>
  </si>
  <si>
    <t>Enhancing Topic Modeling for Short Texts with Auxiliary Word Embeddings</t>
  </si>
  <si>
    <t>Li, Chenliang; Duan, Yu; Wang, Haoran; Zhang, Zhiqian; Sun, Aixin; Ma, Zongyang</t>
  </si>
  <si>
    <t>10.1145/3091108</t>
  </si>
  <si>
    <t>https://doi.org/10.1145/3091108</t>
  </si>
  <si>
    <t>Many applications require semantic understanding of short texts, and inferring discriminative and coherent latent topics is a critical and fundamental task in these applications. Conventional topic models largely rely on word co-occurrences to derive topics from a collection of documents. However, due to the length of each document, short texts are much more sparse in terms of word co-occurrences. Recent studies show that the Dirichlet Multinomial Mixture (DMM) model is effective for topic inference over short texts by assuming that each piece of short text is generated by a single topic. However, DMM has two main limitations. First, even though it seems reasonable to assume that each short text has only one topic because of its shortness, the definition of “shortness” is subjective and the length of the short texts is dataset dependent. That is, the single-topic assumption may be too strong for some datasets. To address this limitation, we propose to model the topic number as a Poisson distribution, allowing each short text to be associated with a small number of topics (e.g., one to three topics). This model is named PDMM. Second, DMM (and also PDMM) does not have access to background knowledge (e.g., semantic relations between words) when modeling short texts. When a human being interprets a piece of short text, the understanding is not solely based on its content words, but also their semantic relations. Recent advances in word embeddings offer effective learning of word semantic relations from a large corpus. Such auxiliary word embeddings enable us to address the second limitation. To this end, we propose to promote the semantically related words under the same topic during the sampling process, by using the generalized P\'{o}lya urn (GPU) model. Through the GPU model, background knowledge about word semantic relations learned from millions of external documents can be easily exploited to improve topic modeling for short texts. By directly extending the PDMM model with the GPU model, we propose two more effective topic models for short texts, named GPU-DMM and GPU-PDMM. Through extensive experiments on two real-world short text collections in two languages, we demonstrate that PDMM achieves better topic representations than state-of-the-art models, measured by topic coherence. The learned topic representation leads to better accuracy in a text classification task, as an indirect evaluation. Both GPU-DMM and GPU-PDMM further improve topic coherence and text classification accuracy. GPU-PDMM outperforms GPU-DMM at the price of higher computational costs.</t>
  </si>
  <si>
    <t>P-ACM-114</t>
  </si>
  <si>
    <t>On Obstructing Obscenity Obfuscation</t>
  </si>
  <si>
    <t>Rojas-Galeano, Sergio</t>
  </si>
  <si>
    <t>10.1145/3032963</t>
  </si>
  <si>
    <t>https://doi.org/10.1145/3032963</t>
  </si>
  <si>
    <t>Obscenity (the use of rude words or offensive expressions) has spread from informal verbal conversations to digital media, becoming increasingly common on user-generated comments found in Web forums, newspaper user boards, social networks, blogs, and media-sharing sites. The basic obscenity-blocking mechanism is based on verbatim comparisons against a blacklist of banned vocabulary; however, creative users circumvent these filters by obfuscating obscenity with symbol substitutions or bogus segmentations that still visually preserve the original semantics, such as writing shit as $h¡;t or s.h.i.t or even worse mixing them as $.h….¡.t. The number of potential obfuscated variants is combinatorial, yielding the verbatim filter impractical. Here we describe a method intended to obstruct this anomaly inspired by sequence alignment algorithms used in genomics, coupled with a tailor-made edit penalty function. The method only requires to set up the vocabulary of plain obscenities; no further training is needed. Its complexity on screening a single obscenity is linear, both in runtime and memory, on the length of the user-generated text. We validated the method on three different experiments. The first one involves a new dataset that is also introduced in this article; it consists of a set of manually annotated real-life comments in Spanish, gathered from the news user boards of an online newspaper, containing this type of obfuscation. The second one is a publicly available dataset of comments in Portuguese from a sports Web site. In these experiments, at the obscenity level, we observed recall rates greater than 90%, whereas precision rates varied between 75% and 95%, depending on their sequence length (shorter lengths yielded a higher number of false alarms). On the other hand, at the comment level, we report recall of 86%, precision of 91%, and specificity of 98%. The last experiment revealed that the method is more effective in matching this type of obfuscation compared to the classical Levenshtein edit distance. We conclude discussing the prospects of the method to help enforcing moderation rules of obscenity expressions or as a preprocessing mechanism for sequence cleaning and/or feature extraction in more sophisticated text categorization techniques.</t>
  </si>
  <si>
    <t>P-ACM-115</t>
  </si>
  <si>
    <t>Text Stemming: Approaches, Applications, and Challenges</t>
  </si>
  <si>
    <t>Singh, Jasmeet; Gupta, Vishal</t>
  </si>
  <si>
    <t>10.1145/2975608</t>
  </si>
  <si>
    <t>https://doi.org/10.1145/2975608</t>
  </si>
  <si>
    <t>Stemming is a process in which the variant word forms are mapped to their base form. It is among the basic text pre-processing approaches used in Language Modeling, Natural Language Processing, and Information Retrieval applications. In this article, we present a comprehensive survey of text stemming techniques, evaluation mechanisms, and application domains. The main objective of this survey is to distill the main insights and present a detailed assessment of the current state of the art. The performance of some well-known rule-based and statistical stemming algorithms in different scenarios has been analyzed. In the end, we highlighted some open issues and challenges related to unsupervised statistical text stemming. This research work will help the researchers to select the most suitable text stemming technique in a specific application and will also serve as a guide to identify the areas that need attention from the research community.</t>
  </si>
  <si>
    <t>P-ACM-116</t>
  </si>
  <si>
    <t>Chinese-Japanese Machine Translation Exploiting Chinese Characters</t>
  </si>
  <si>
    <t>Chu, Chenhui; Nakazawa, Toshiaki; Kawahara, Daisuke; Kurohashi, Sadao</t>
  </si>
  <si>
    <t>10.1145/2523057.2523059</t>
  </si>
  <si>
    <t>https://doi.org/10.1145/2523057.2523059</t>
  </si>
  <si>
    <t>The Chinese and Japanese languages share Chinese characters. Since the Chinese characters in Japanese originated from ancient China, many common Chinese characters exist between these two languages. Since Chinese characters contain significant semantic information and common Chinese characters share the same meaning in the two languages, they can be quite useful in Chinese-Japanese machine translation (MT). We therefore propose a method for creating a Chinese character mapping table for Japanese, traditional Chinese, and simplified Chinese, with the aim of constructing a complete resource of common Chinese characters. Furthermore, we point out two main problems in Chinese word segmentation for Chinese-Japanese MT, namely, unknown words and word segmentation granularity, and propose an approach exploiting common Chinese characters to solve these problems. We also propose a statistical method for detecting other semantically equivalent Chinese characters other than the common ones and a method for exploiting shared Chinese characters in phrase alignment. Results of the experiments carried out on a state-of-the-art phrase-based statistical MT system and an example-based MT system show that our proposed approaches can improve MT performance significantly, thereby verifying the effectiveness of shared Chinese characters for Chinese-Japanese MT.</t>
  </si>
  <si>
    <t>P-ACM-117</t>
  </si>
  <si>
    <t>Automatic differentiation in machine learning: a survey</t>
  </si>
  <si>
    <t>Baydin, At\i{}l\i{}m G\"{u}nes; Pearlmutter, Barak A.; Radul, Alexey Andreyevich; Siskind, Jeffrey Mark</t>
  </si>
  <si>
    <t>Derivatives, mostly in the form of gradients and Hessians, are ubiquitous in machine learning. Automatic differentiation (AD), also called algorithmic differentiation or simply "auto-diff", is a family of techniques similar to but more general than backpropagation for efficiently and accurately evaluating derivatives of numeric functions expressed as computer programs. AD is a small but established field with applications in areas including computational uid dynamics, atmospheric sciences, and engineering design optimization. Until very recently, the fields of machine learning and AD have largely been unaware of each other and, in some cases, have independently discovered each other's results. Despite its relevance, general-purpose AD has been missing from the machine learning toolbox, a situation slowly changing with its ongoing adoption under the names "dynamic computational graphs" and "differentiable programming". We survey the intersection of AD and machine learning, cover applications where AD has direct relevance, and address the main implementation techniques. By precisely defining the main differentiation techniques and their interrelationships, we aim to bring clarity to the usage of the terms "autodiff", "automatic differentiation", and "symbolic differentiation" as these are encountered more and more in machine learning settings.</t>
  </si>
  <si>
    <t>P-ACM-118</t>
  </si>
  <si>
    <t>Generalized p\'{o}ya urn for time-varying pitman-yor processes</t>
  </si>
  <si>
    <t>Caron, Fran\c{c}ois; Neiswanger, Willie; Wood, Frank; Doucet, Arnaud; Davy, Manuel</t>
  </si>
  <si>
    <t>This article introduces a class of first-order stationary time-varying Pitman-Yor processes. Subsuming our construction of time-varying Dirichlet processes presented in (Caron et al., 2007), these models can be used for time-dynamic density estimation and clustering. Our intuitive and simple construction relies on a generalized P\'{o}lya urn scheme. Significantly, this construction yields marginal distributions at each time point that can be explicitly characterized and easily controlled. Inference is performed using Markov chain Monte Carlo and sequential Monte Carlo methods. We demonstrate our models and algorithms on epidemiological and video tracking data.</t>
  </si>
  <si>
    <t>P-ACM-119</t>
  </si>
  <si>
    <t>Compiling nested data-parallel programs for shared-memory multiprocessors</t>
  </si>
  <si>
    <t>Chatterjee, Siddhartha</t>
  </si>
  <si>
    <t>10.1145/169683.174152</t>
  </si>
  <si>
    <t>https://doi.org/10.1145/169683.174152</t>
  </si>
  <si>
    <t>Resumo não informado no metadado.</t>
  </si>
  <si>
    <t>P-ACM-120</t>
  </si>
  <si>
    <t>Models of machines and computation for mapping in multicomputers</t>
  </si>
  <si>
    <t>Norman, Michael G.; Thanisch, Peter</t>
  </si>
  <si>
    <t>10.1145/158439.158908</t>
  </si>
  <si>
    <t>https://doi.org/10.1145/158439.158908</t>
  </si>
  <si>
    <t>Web of Science - Primários</t>
  </si>
  <si>
    <t>Metadados organizados para rastreabilidade, auditoria e reprodução da RSL. Quantidade validada: 85 registros.</t>
  </si>
  <si>
    <t>P-WOS-001</t>
  </si>
  <si>
    <t>Multi-Agentic LLMs for Personalizing STEM Texts</t>
  </si>
  <si>
    <t>Vaccaro Jr, Michael; Friday, Mikayla; Zaghi, Arash</t>
  </si>
  <si>
    <t>Web of Science</t>
  </si>
  <si>
    <t>10.3390/app15137579</t>
  </si>
  <si>
    <t>https://doi.org/10.3390/app15137579</t>
  </si>
  <si>
    <t>Multi-agent large language models promise flexible, modular architectures for delivering personalized educational content. Drawing on a pilot randomized controlled trial with middle school students (n = 23), we introduce a two-agent GPT-4 framework in which a Profiler agent infers learner-specific preferences and a Rewrite agent dynamically adapts science passages via an explicit message-passing protocol. We implement structured system and user prompts as inter-agent communication schemas to enable real-time content adaptation. The results of an ordinal logistic regression analysis hinted that students may be more likely to prefer texts aligned with their profile, demonstrating the feasibility of multi-agent system-driven personalization and highlighting the need for additional work to build upon this pilot study. Beyond empirical validation, we present a modular multi-agent architecture detailing agent roles, communication interfaces, and scalability considerations. We discuss design best practices, ethical safeguards, and pathways for extending this framework to collaborative agent networks-such as feedback-analysis agents-in K-12 settings. These results advance both our theoretical and applied understanding of multi-agent LLM systems for personalized learning.</t>
  </si>
  <si>
    <t>P-WOS-002</t>
  </si>
  <si>
    <t>UsmleGPT: An AI application for developing MCQs via multi-agent system</t>
  </si>
  <si>
    <t>Jiang, Zhehan; Feng, Shicong</t>
  </si>
  <si>
    <t>10.1016/j.simpa.2025.100742</t>
  </si>
  <si>
    <t>https://doi.org/10.1016/j.simpa.2025.100742</t>
  </si>
  <si>
    <t>Driven by the trending multi-agent system (MAS) that harnesses collective intelligence from numerous large language models (LLMs), UsmleGPT is a Python-based application designed to enhance LLM-generated content tailored for the USMLE Step 1 scenario. The MAS aligns with the NBME's framework, incorporating advanced prompt strategies to guide each LLM through their respective tasks and specialties. This enables UsmleGPT to surpass conventional practices in automating item generation. Beyond the original script, a freely accessible, user-friendly website complements the tool, facilitating its adoption. UsmleGPT represents a breakthrough in medical education, transforming medical exam preparation and setting new standards for high-stakes medical assessments.</t>
  </si>
  <si>
    <t>P-WOS-003</t>
  </si>
  <si>
    <t>Brodimas, Dimitrios; Birbas, Alexios; Kapolos, Dimitrios; Denazis, Spyros</t>
  </si>
  <si>
    <t>https://doi.org/10.1109/OJCOMS.2025.3600706</t>
  </si>
  <si>
    <t>P-WOS-004</t>
  </si>
  <si>
    <t>ClinicalAgent: Clinical Trial Multi-Agent System with Large Language Model-based Reasoning</t>
  </si>
  <si>
    <t>Yue, Ling; Xing, Sixue; Chen, Jintai; Fu, Tianfan</t>
  </si>
  <si>
    <t>10.1145/3698587.3701359</t>
  </si>
  <si>
    <t>https://doi.org/10.1145/3698587.3701359</t>
  </si>
  <si>
    <t>Large Language Models (LLMs) and multi-agent systems have shown impressive capabilities in natural language tasks but face challenges in clinical trial applications, primarily due to limited access to external knowledge. Recognizing the potential of advanced clinical trial tools that aggregate and predict based on the latest medical data, we propose an integrated solution to enhance their accessibility and utility. We introduce Clinical Agent System (ClinicalAgent), a clinical multi-agent system designed for clinical trial tasks, leveraging GPT-4, multi-agent architectures, LEAST-TO-MOST, and ReAct reasoning technology. This integration not only boosts LLM performance in clinical contexts but also introduces novel functionalities. The proposed method achieves competitive predictive performance in clinical trial outcome prediction (0.7908 PR-AUC), obtaining a 0.3326 improvement over the standard prompt Method. Publicly available code can be found at https://github.com/LeoYML/clinical-agent.</t>
  </si>
  <si>
    <t>RQ1; RQ3; RQ5</t>
  </si>
  <si>
    <t>P-WOS-005</t>
  </si>
  <si>
    <t>Architecture of Multi-agent System for Automatic Code Template Maintenance</t>
  </si>
  <si>
    <t>Akik, Elena; Viatica, Marko; Dimitrieski, Vladimir; Kordi, Slavica; Ristie, Sonja</t>
  </si>
  <si>
    <t>10.1007/978-3-032-05727-3\_26</t>
  </si>
  <si>
    <t>https://doi.org/10.1007/978-3-032-05727-3\_26</t>
  </si>
  <si>
    <t>In modern software engineering, template-based code generation, and in particular Large Language Model (LLM) driven code synthesis, have been identified as key enablers of developer productivity in environments in which complex, predefined components are subject to continuous adaptation to evolving requirements. However, the maintenance of code generator templates is frequently performed as a manual, error prone task when dependencies on external specifications or components are present, especially when they change often. To address this gap, a Multi-Agent System (MAS) is proposed, in which LLMs are relied upon for the interpretation of template code, and Model-Driven Software Development (MDSD) principles are applied for the structured representation of templates. In this system, specialized agents are tasked with detecting and interpreting changes in external specifications, performing targeted updates to template code, and validating consistency against a canonical model. Communication among agents, and the storage of semantic embeddings of template fragments and domain models, are managed through a vector database, thereby enabling retrieval of prior template versions and reasoning over them. The proposed solution is to be integrated into an existing MDSD solution for uniform access to vector databases as proof of concept.</t>
  </si>
  <si>
    <t>P-WOS-006</t>
  </si>
  <si>
    <t>Yang, Tingting; Feng, Ping; Guo, Qixin; Zhang, Jindi; Zhang, Xiufeng; Ning, Jiahong; Wang, Xinghan; Mao, Zhongyang</t>
  </si>
  <si>
    <t>https://doi.org/10.1109/TCCN.2025.3528892</t>
  </si>
  <si>
    <t>Heterogeneous multi-agent systems (HMAS) comprise various intelligent agents with specialized functions, such as drones, ground robots, and automated devices, working in coordinated settings. This paper presents AutoHMA-LLM, a novel framework that combines Large Language Models (LLMs) with classical control algorithms to address the challenges of task coordination and scheduling in complex, dynamic environments. The framework is designed with a multi-tier architecture, utilizing a cloud-based LLM as the central planner alongside device-specific LLMs and Generative Agents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AutoHMA-LLM demonstrated a 5.7\% improvement in task completion accuracy, a 46\% reduction in communication steps, and a 31\% decrease in token usage and API calls compared to baseline methods. These results highlight our framework's scalability and efficiency, offering substantial support for effective multi-agent collaboration in complex, resource-constrained environments.</t>
  </si>
  <si>
    <t>P-WOS-007</t>
  </si>
  <si>
    <t>Zeng, Jiandian; Liao, Junjie; Sun, Shaochen; Zhang, Guangxue; Xu, Changfu; Liu, Huaijin; Li, Yang</t>
  </si>
  <si>
    <t>https://doi.org/10.1109/MNET.2026.3651036</t>
  </si>
  <si>
    <t>P-WOS-008</t>
  </si>
  <si>
    <t>A Hybrid Perplexity-MAS Framework for Proactive Jailbreak Attack Detection in Large Language Models</t>
  </si>
  <si>
    <t>Wang, Ping; Li, Hao-Cyuan; Lin, Hsiao-Chung; Lin, Wen-Hui; Wu, Fang-Ci; Xie, Nian-Zu; Yang, Zhon-Ghan</t>
  </si>
  <si>
    <t>10.3390/app152413190</t>
  </si>
  <si>
    <t>https://doi.org/10.3390/app152413190</t>
  </si>
  <si>
    <t>Jailbreak attacks (JAs) represent a sophisticated subclass of adversarial threats wherein malicious actors craft strategically engineered prompts that subvert the intended operational boundaries of large language models (LLMs). These attacks exploit latent vulnerabilities in generative AI architectures, allowing adversaries to circumvent established safety protocols and illicitly induce the model to output prohibited, unethical, or harmful content. The emergence of such exploits underscores critical gaps in the security and controllability of modern AI systems, raising profound concerns about their societal impact and deployment in sensitive environments. In response, this study introduces an innovative defense framework that synergistically integrates language model perplexity analysis with a Multi-Agent System (MAS)-oriented detection architecture. This hybrid design aims to fortify the resilience of LLMs by proactively identifying and neutralizing jailbreak attempts, thereby ensuring the protection of user privacy and ethical integrity. The experimental setup adopts a query-driven adversarial probing strategy, in which jailbreak prompts are dynamically generated and injected into the open-source LLaMA-2 model to systematically explore potential vulnerabilities. To ensure rigorous validation, the proposed framework will be evaluated using a custom jailbreak detection benchmark encompassing metrics such as Attack Success Rate (ASR), Defense Success Rate (DSR), Defense Pass Rate (DPR), False Positive Rate, Benign Pass Rate (BPR), and End-to-End Latency. Through iterative experimentation and continuous refinement, this work endeavors to advance the defensive capabilities of LLM-based systems, enabling more trustworthy, secure, and ethically aligned deployment of generative AI in real-world environments.</t>
  </si>
  <si>
    <t>P-WOS-009</t>
  </si>
  <si>
    <t>Segment, Recommend, and Explain: Advancing Conversational Recommender Systems with Large Language Model Agents</t>
  </si>
  <si>
    <t>Silva, Fillipe dos Santos</t>
  </si>
  <si>
    <t>10.1145/3699682.3727569</t>
  </si>
  <si>
    <t>https://doi.org/10.1145/3699682.3727569</t>
  </si>
  <si>
    <t>From personalized shopping assistants to streaming service recommendations, Conversational Recommender Systems (CRSs) have become essential tools for decision-making. However, users often struggle to understand why particular items are recommended, leading to reduced trust, lower engagement, and less effective decisionmaking. At the same time, CRSs usually face challenges in recommendation accuracy as they struggle to integrate historical data, real-time feedback, and contextual signals effectively. This combination of unclear explanations and suboptimal recommendations diminishes user experience and system reliability. To address these challenges, we explore three key questions: (i) how the integration of structured and unstructured data can enhance downstream tasks in a Multi-Agent System (MAS)-based CRS architecture, (ii) how a MAS can generate dynamic and user-centric explanations, and (iii) how cross-agent collaboration can optimize recommendation accuracy. MAS-based architectures distribute critical tasks such as decision-making, data retrieval, optimization, and reasoning across specialized agents. A meta-agent oversees these agents, ensuring coordination and adaptability. This research aims to enhance the clarity of explanations and improve recommendation accuracy by integrating modular agents in a coordinated MAS framework, providing more personalized explanations and adapting to evolving user preferences.</t>
  </si>
  <si>
    <t>P-WOS-010</t>
  </si>
  <si>
    <t>CCMA: A framework for cascading cooperative multi-agent in autonomous driving merging using Large Language Models</t>
  </si>
  <si>
    <t>Zhang, Miao; Fang, Zhenlong; Wang, Tianyi; Lu, Shuai; Wang, Xueqian; Shi, Tianyu</t>
  </si>
  <si>
    <t>10.1016/j.eswa.2025.127717</t>
  </si>
  <si>
    <t>https://doi.org/10.1016/j.eswa.2025.127717</t>
  </si>
  <si>
    <t>Traditional Reinforcement Learning (RL) suffers from challenges in replicating human-like behaviors, generalizing effectively in multi-agent scenarios, and overcoming inherent interpretability issues. These tasks become even more difficult when they require a deep understanding of the environment, coordination of agents' intentions and driving styles across various scenarios, and the overall optimization of safety, efficiency, and comfort in dynamic environments. Recently, Large Language Model (LLM) enhanced methods have shown promise in improving generalization and interoperability. However, these approaches primarily focus on single-agent scenarios and often neglect the necessary coordination among multiple road users. Therefore, in this paper, we introduce the Cascading Cooperative Multi-agent (CCMA) framework, designed to address these challenges by enhancing human-like behaviors and fostering multi-level cooperation across diverse multi-agent driving tasks, ultimately improving both micro and macro-level performance in complex driving environments. Specifically, the CCMA framework integrates RL for individual interactions, a fine-tuned LLM for regional cooperation, a reward function for global optimization, and the Retrieval-augmented Generation mechanism to dynamically optimize decision-making across complex driving scenarios. Our experiments demonstrate that our CCMA method not only enhances human-like behaviors and interpretability, but also outperforms other state-of-the-art RL methods in multi-agent environments. These findings highlight the significant impact of cascading coordinated communication and dynamic functional alignment in advanced, human-like multi-agent autonomous driving environments. Our project page is https://miaorain.github.io/rainrun.github.io/.</t>
  </si>
  <si>
    <t>P-WOS-011</t>
  </si>
  <si>
    <t>Privacy-by-Design in AI-Assisted Systems for Caregivers of Children with Autism: A Secure Multi-Agent Architecture</t>
  </si>
  <si>
    <t>Croitoru, Ionut; Turcu, Cristina Elena; Turcu, Corneliu Octavian</t>
  </si>
  <si>
    <t>10.3390/app16042157</t>
  </si>
  <si>
    <t>https://doi.org/10.3390/app16042157</t>
  </si>
  <si>
    <t>Caregivers of children with Autism Spectrum Disorder (ASD) frequently experience chronic psychological stress, thereby necessitating accessible support. Although artificial intelligence (AI)-based assisted technologies have the potential to reduce caregiver workload, most existing solutions lack robust privacy control and clinical interoperability, which significantly limits their adoption in regulated healthcare environments. To address these challenges, this paper proposes a Privacy-by-Design (PbD) multi-agent architecture that enables consent-aware, auditable, and privacy-preserving AI-assisted support for caregivers of children with ASD. The effectiveness of the proposed architecture was evaluated using two datasets: one focusing on clinically grounded autism-related knowledge and another reflecting naturalistic caregiver observation language. System performance was assessed using a Retrieval-Augmented Generation Assessment (RAGAs)-based framework with a Large Language Model (LLM)-as-a-Judge approach implemented via a locally deployed Llama 3 8B model. The system achieved answer relevancy scores of 0.767 for the clinical dataset and 0.750 for the observational dataset, with corresponding Recall@K values of 0.400 and 0.742, respectively. Context precision ranged from 0.599 to 0.631, and no harmful content was detected. Overall, the proposed architecture demonstrates secure caregiver-specialist collaboration through consent-aware routing, anonymised data storage, and controlled data reconstruction, providing a regulation-aligned design option for privacy-preserving AI integration in assisted care platforms.</t>
  </si>
  <si>
    <t>P-WOS-012</t>
  </si>
  <si>
    <t>Multi-Agent Multimodal Large Language Model Framework for Automated Interpretation of Fuel Efficiency Analytics in Public Transportation</t>
  </si>
  <si>
    <t>Ma, Zhipeng; Bahja, Ali Rida; Burgdorf, Andreas; Pomp, Andre; Meisen, Tobias; Jorgensen, Bo Norregaard; Ma, Zheng Grace</t>
  </si>
  <si>
    <t>10.3390/app152111619</t>
  </si>
  <si>
    <t>https://doi.org/10.3390/app152111619</t>
  </si>
  <si>
    <t>Enhancing fuel efficiency in public transportation requires the integration of complex multimodal data into interpretable, decision-relevant insights. However, traditional analytics and visualization methods often yield fragmented outputs that demand extensive human interpretation, limiting scalability and consistency. This study presents a multi-agent framework that leverages multimodal large language models (LLMs) to automate data narration and energy insight generation. The framework coordinates three specialized agents, including a data narration agent, an LLM-as-a-judge agent, and an optional human-in-the-loop evaluator, to iteratively transform analytical artifacts into coherent, stakeholder-oriented reports. The system is validated through a real-world case study on public bus transportation in Northern Jutland, Denmark, where fuel efficiency data from 4006 trips are analyzed using Gaussian Mixture Model clustering. Comparative experiments across five state-of-the-art LLMs and three prompting paradigms identify GPT-4.1 mini with Chain-of-Thought prompting as the optimal configuration, achieving 97.3\% narrative accuracy while balancing interpretability and computational cost. The findings demonstrate that multi-agent orchestration significantly enhances factual precision, coherence, and scalability in LLM-based reporting. The proposed framework establishes a replicable and domain-adaptive methodology for AI-driven narrative generation and decision support in energy informatics.</t>
  </si>
  <si>
    <t>P-WOS-013</t>
  </si>
  <si>
    <t>Jiang, Feibo; Peng, Yubo; Dong, Li; Wang, Kezhi; Yang, Kun; Pan, Cunhua; Niyato, Dusit; Dobre, Octavia A.</t>
  </si>
  <si>
    <t>https://doi.org/10.1109/MWC.016.2300600</t>
  </si>
  <si>
    <t>The rapid development of the large language model (LLM) presents huge opportunities for 6G communications -- for example, network optimization and management -- by allowing users to input task requirements to LLMs with natural language. However, directly applying native LLMs in 6G encounters various challenges, such as a lack of communication data and knowledge, and limited logical reasoning, evaluation, and refinement abilities. Integrating LLMs with the capabilities of retrieval, planning, memory, evaluation, and reflection in agents can greatly enhance the potential of LLMs for 6G communications. To this end, we propose CommLLM, a multi-agent system with customized communication knowledge and tools for solving communication-related tasks using natural language. This system consists of three components: multi-agent data retrieval (MDR), which employs the condensate and inference agents to refine and summarize communication knowledge from the knowledge base, expanding the knowledge boundaries of LLMs in 6G communications; multi-agent collaborative planning (MCP), which utilizes multiple planning agents to generate feasible solutions for the communication-related task from different perspectives based on the retrieved knowledge; and multi-agent evaluation and reflection (MER), which utilizes the evaluation agent to assess the solutions, and applies the reflection agent and refinement agent to provide improvement suggestions for current solutions. Finally, we validate the effectiveness of the proposed multi-agent system by designing a semantic communication system as a case study of 6G communications.</t>
  </si>
  <si>
    <t>P-WOS-014</t>
  </si>
  <si>
    <t>Dynamic Consensus Communication Mechanism for Large Language Model-Based Multi-Agent Systems</t>
  </si>
  <si>
    <t>Yang, Liancheng; Li, Sining; Deng, Aobo</t>
  </si>
  <si>
    <t>10.1007/s11265-025-01978-3</t>
  </si>
  <si>
    <t>https://doi.org/10.1007/s11265-025-01978-3</t>
  </si>
  <si>
    <t>Large Language Models (LLMs) often struggle with multi-step reasoning tasks. To address this, LLM-based Multi-Agent Systems (LLM-MAS) have been introduced, where agents interact to reach consensus. However, these systems face two major issues: hallucination propagation, where incorrect responses mislead others, and communication redundancy, where excessive interactions increase token cost without improving performance. This paper proposes a unified solution: Consensus-driven Community Agent Communication (\textbackslash{}documentclass{[}12pt]\{minimal\}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 \{AC\}&lt;\^{}&gt;\{\textbackslash{}varvec\{3\}\}\$\$\textbackslash{}end\{docu ment\}). Each agent's response is decomposed into an answer and an analysis, allowing for precise tracking of misleading content and redundant patterns. Agents are clustered into communities based on answers, and selected representatives-chosen by analysis quality-conduct cross-community discussion. A confirmation mechanism finalizes the consensus. Experiments on multiple datasets show that \textbackslash{}documentclass{[}12pt]\{minimal\}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 \{AC\}&lt;\^{}&gt;\{\textbackslash{}varvec\{3\}\}\$\$\textbackslash{}end\{docu ment\} significantly reduces hallucinations and communication overhead while maintaining or improving reasoning accuracy. These results demonstrate the effectiveness and scalability of \textbackslash{}documentclass{[}12pt]\{minimal\}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 \{AC\}&lt;\^{}&gt;\{\textbackslash{}varvec\{3\}\}\$\$\textbackslash{}end\{docu ment\} in enhancing LLM-based multi-agent systems.</t>
  </si>
  <si>
    <t>P-WOS-015</t>
  </si>
  <si>
    <t>Flow-of-Action: SOP Enhanced LLM-Based Multi-Agent System for Root Cause Analysis</t>
  </si>
  <si>
    <t>Pei, Changhua; Wang, Zexin; Liu, Fengrui; Li, Zeyan; Liu, Yang; He, Xiao; Kang, Rong; Zhang, Tieying; Chen, Jianjun; Li, Jianhui; Xie, Gaogang; Pei, Dan</t>
  </si>
  <si>
    <t>10.1145/3701716.3715225</t>
  </si>
  <si>
    <t>https://doi.org/10.1145/3701716.3715225</t>
  </si>
  <si>
    <t>In the realm of microservices architecture, the occurrence of frequent incidents necessitates the employment of Root Cause Analysis (RCA) for swift issue resolution. It is common that a serious incident can take several domain experts hours to identify the root cause. Consequently, a contemporary trend involves harnessing Large Language Models (LLMs) as automated agents for RCA. Though the recent ReAct framework aligns well with the Site Reliability Engineers (SREs) for its thought-action-observation paradigm, its hallucinations often lead to irrelevant actions and directly affect subsequent results. Additionally, the complex and variable clues of the incident can overwhelm the model one step further. To confront these challenges, we propose Flow-of-Action, a pioneering Standard Operation Procedure (SOP) enhanced LLM-based multi-agent system. By explicitly summarizing the diagnosis steps of SREs, SOP imposes constraints on LLMs at crucial junctures, guiding the RCA process towards the correct trajectory. To facilitate the rational and effective utilization of SOPs, we design an SOP-centric framework called SOP flow. SOP flow contains a series of tools, including one for finding relevant SOPs for incidents, another for automatically generating SOPs for incidents without relevant ones, and a tool for converting SOPs into code. This significantly alleviates the hallucination issues of ReAct in RCA tasks. We also design multiple auxiliary agents to assist the main agent by removing useless noise, narrowing the search space, and informing the main agent whether the RCA procedure can stop. Compared to the ReAct method's 35.50\% accuracy, our Flow-of-Action method achieves 64.01\%, meeting the accuracy requirements for RCA in real-world systems.</t>
  </si>
  <si>
    <t>P-WOS-016</t>
  </si>
  <si>
    <t>A Concept for Bio-Agentic Visual Communication: Bridging Swarm Intelligence with Biological Analogues</t>
  </si>
  <si>
    <t>Starbuck, Bryan; Li, Hanlong; Cochran, Bryan; Weissburg, Marc; Bras, Bert</t>
  </si>
  <si>
    <t>10.3390/biomimetics10090605</t>
  </si>
  <si>
    <t>https://doi.org/10.3390/biomimetics10090605</t>
  </si>
  <si>
    <t>Biological swarms communicate through decentralized, adaptive behaviors shaped by local interactions, selective attention, and symbolic signaling. These principles of animal communication enable robust coordination without centralized control or persistent connectivity. This work presents a proof of concept that identifies, evaluates, and translates biological communication strategies into a generative visual language for unmanned aerial vehicle (UAV) swarm agents operating in radio-frequency (RF)-denied environments. Drawing from natural exemplars such as bee waggle dancing, white-tailed deer flagging, and peacock feather displays, we construct a configuration space that encodes visual messages through trajectories and LED patterns. A large language model (LLM), preconditioned using retrieval-augmented generation (RAG), serves as a generative translation layer that interprets perception data and produces symbolic UAV responses. Five test cases evaluate the system's ability to preserve and adapt signal meaning through within-modality fidelity (maintaining symbolic structure in the same modality) and cross-modal translation (transferring meaning across motion and light). Covariance and eigenvalue-decomposition analysis demonstrate that this bio-agentic approach supports clear, expressive, and decentralized communication, with motion-based signaling achieving near-perfect clarity and expressiveness (0.992, 1.000), while LED-only and multi-signal cases showed partial success, maintaining high expressiveness (similar to 1.000) but with much lower clarity (&lt;= 0.298).</t>
  </si>
  <si>
    <t>P-WOS-017</t>
  </si>
  <si>
    <t>Das, Ayushman; Chen, Shu-Ching; Shyu, Mei-Ling; Sadiq, Saad</t>
  </si>
  <si>
    <t>https://doi.org/10.1109/CIC58953.2023.00021</t>
  </si>
  <si>
    <t>Despite the significant advancements in the field of Natural Language Processing (NLP), Large Language Models (LLMs) have shown limitations in performing complex tasks that require arithmetic, commonsense, and symbolic reasoning. Reasoning frameworks like ReAct, Chain-of-thought (CoT), Tree-of-thoughts (ToT), etc. have shown success but with limitations in solving long-form complex tasks. To address this, we propose a knowledge-sharing and collaborative multi-agent assisted framework on LLMs that leverages the capabilities of existing reasoning frameworks and the collaborative skills of multi-agent systems (MASs). The objectives of the proposed framework are to overcome the limitations of LLMs, enhance their reasoning capabilities, and improve their performance in complex tasks. It involves generating natural language rationales and in-context few-shot learning via prompting, and integrates the reasoning techniques with efficient knowledge-sharing and communication-driven agent networks. The potential benefits of the proposed framework include saving time and money, improved efficiency for computationally intensive reasoning, and the ability to incorporate multiple collaboration strategies for dynamically changing environments.</t>
  </si>
  <si>
    <t>P-WOS-018</t>
  </si>
  <si>
    <t>Dango: A Mixed-Initiative Data Wrangling System using Large Language Model</t>
  </si>
  <si>
    <t>Chen, Wei-Hao; Tong, Weixi; Case, Amanda; Zhang, Tianyi</t>
  </si>
  <si>
    <t>10.1145/3706598.3714135</t>
  </si>
  <si>
    <t>https://doi.org/10.1145/3706598.3714135</t>
  </si>
  <si>
    <t>Data wrangling is a time-consuming and challenging task in a data science pipeline. While many tools have been proposed to automate or facilitate data wrangling, they often misinterpret user intent, especially in complex tasks. We propose Dango, a mixed-initiative multi-agent system for data wrangling. Compared to existing tools, Dango enhances user communication of intent by: (1) allowing users to demonstrate on multiple tables and use natural language prompts in a conversation interface, (2) enabling users to clarify their intent by answering LLM-posed multiple-choice clarification questions, and (3) providing multiple forms of feedback such as step-by-step NL explanations and data provenance to help users evaluate the data wrangling scripts. We conducted a within-subjects user study (n=38) and demonstrated that Dango's features can significantly improve intent clarification, accuracy, and efficiency in data wrangling. Furthermore, we demonstrated the generalizability of Dango by applying it to a broader set of data wrangling tasks.</t>
  </si>
  <si>
    <t>P-WOS-019</t>
  </si>
  <si>
    <t>BlockAgents: Towards Byzantine-Robust LLM-Based Multi-Agent Coordination via Blockchain</t>
  </si>
  <si>
    <t>Chen, Bei; Li, Gaolei; Lin, Xi; Wang, Zheng; Li, Jianhua</t>
  </si>
  <si>
    <t>10.1145/3674399.3674445</t>
  </si>
  <si>
    <t>https://doi.org/10.1145/3674399.3674445</t>
  </si>
  <si>
    <t>Recent advancements in multi-agent systems based on large language models (LLM) have shown potential for problem-solving and planning tasks. However, most existing LLM-based multi-agent approaches show vulnerability against byzantine attacks. First, agents instantiated on diverse LLMs may inherit biases present in the LLMs and thus exhibit deception behavior. Second, as the number of agents grows, collusive behavior among multiple malicious agents poses a potential threat. In this paper, we propose BlockAgents, an innovative framework that integrates blockchain into LLM-based cooperative multi-agent systems to mitigate byzantine behaviors. BlockAgents completes multi-agent collaboration through a unified workflow including role assignment, proposal statement, evaluation, and decision-making. To help the agent who contributes the most to the group thinking process acquire accounting rights, we propose a proof-of-thought (PoT) consensus mechanism combined with stake-based miner designation and multi-round debate-style voting. To effectively distinguish valid and abnormal answers, we design a multi-metric prompt-based evaluation method for each evaluator to score each proposal by carefully and comprehensively considering multiple dimensions. Experiments on three datasets show that BlockAgents reduces the interference of poisoning attacks on accuracy to less than 3\% and reduces the success rate of backdoor attacks to less than 5\%, demonstrating the resistance ability against Byzantine attacks.</t>
  </si>
  <si>
    <t>P-WOS-020</t>
  </si>
  <si>
    <t>Saleh, Alaa; Hassaan, Mazen; Zhangt, Qiyang; Tarkom, Sasu; Pirttikangas, Susanna; Lovell, Lauri</t>
  </si>
  <si>
    <t>https://doi.org/10.1109/ICDCSW63273.2025.00109</t>
  </si>
  <si>
    <t>The increasing integration of Large Language Models (LLMs) into smart environments has driven the need for adaptive, user-centric AI solutions that enhance personalized experiences. This study introduces a multi-agent system that dynamically adjusts environmental settings based on real-time user preferences. By leveraging agentic AI within a computing continuum, our framework employs personalized LLM agents that negotiate with smart building agents to optimize temperature, humidity, and lighting conditions while maintaining energy efficiency. Using the AutoGen framework, our system orchestrates structured agent interactions to ensure seamless coordination and decision-making. We evaluate various LLMs, including GPT-4o, Gemini-2.0-Flash, Claude-3.5-Sonnet, and SmolLM2, in terms of precision, computational efficiency, and resource utilization. Results demonstrate that GPT-4o and GPT-4o-mini achieve the highest precision while minimizing resource overhead, whereas other models exhibit inefficiencies in execution speed and agent coordination.</t>
  </si>
  <si>
    <t>P-WOS-021</t>
  </si>
  <si>
    <t>Agentic LLMs in the supply chain: towards autonomous multi-agent consensus-seeking</t>
  </si>
  <si>
    <t>Jannelli, Valeria; Schopf, Stefan; Bickel, Matthias; Netland, Torbjorn; Brintrup, Alexandra</t>
  </si>
  <si>
    <t>10.1080/00207543.2025.2604311</t>
  </si>
  <si>
    <t>https://doi.org/10.1080/00207543.2025.2604311</t>
  </si>
  <si>
    <t>Supply Chain Management relies on human consensus in decision-making to avoid emergent problems like the bullwhip effect. Some routine consensus processes, especially those that are time-intensive, can be automated. Previously proposed supply chain automation solutions for consensus-seeking and coordination faced computational challenges, resulting in high entry barriers. Recent advances in Generative AI, particularly Large Language Model agents (LLM agents), could overcome these barriers. This paper explores how LLM agents can automate consensus-seeking in supply chains. We introduce a series of novel, supply chain-specific consensus-seeking frameworks and validate the effectiveness of our approach through a case study in inventory management, where agents that represent companies in a supply chain are able to balance selfish goals with systemic outcomes through conversation. Our results show that introducing LLM-based consensus-seeking frameworks reduces bullwhip effects. When equipped with appropriate tools, LLM agents can minimise bullwhip better than restocking policies and centralised demand approaches. Additionally, when LLM agents are handled within a negotiation framework, their behaviour converges to best practices in the supply chain literature on how to lessen the bullwhip effect. To provide a foundation for further advancements in LLM-based autonomous supply chain solutions, we open-source our code.</t>
  </si>
  <si>
    <t>P-WOS-022</t>
  </si>
  <si>
    <t>AutoBEE: A hierarchical multi-agent approach for energy and environmental parameter analysis</t>
  </si>
  <si>
    <t>Quan, Yani; Xiao, Tong; Gu, Jiefan; Xu, Peng</t>
  </si>
  <si>
    <t>10.1016/j.enbuild.2025.116516</t>
  </si>
  <si>
    <t>https://doi.org/10.1016/j.enbuild.2025.116516</t>
  </si>
  <si>
    <t>Traditional approaches to building performance analysis often rely on manual or semi-manual methods, suffering from cumbersome workflows, low efficiency, and high error rates. This study developed AutoBEE, an automated analysis framework for building energy consumption and environmental parameters based on hierarchical multiagent system integrated with large language models. This framework focused on enhancing the efficiency of individual agent and productive collaboration among agents group. Through the development of a comprehensive agent tool library, the establishment of a multi-level network spanning from teams to agents, the design of a lightweight communication protocol, and the creation of dynamic path planning, AutoBEE achieves autonomous unmanned operation from natural language input to building performance report output. During operation, agents group can exhibit a wide range of capabilities, including but not limited to accurately parsing user instructions, decomposing complex tasks into subtasks, adjusting parameters in the input data file, executing simulation calculations by energy simulation software, and generating structured professional reports. Verified through experiments in 54 typical scenarios, compared with traditional methods, AutoBEE has significantly improved efficiency, accuracy, rationality, content richness, and economic feasibility, providing an innovative solution for building performance research.</t>
  </si>
  <si>
    <t>P-WOS-023</t>
  </si>
  <si>
    <t>Agentic additive manufacturing alloy evaluation</t>
  </si>
  <si>
    <t>Pak, Peter; Chandrasekhar, Achuth; Farimani, Amir Barati</t>
  </si>
  <si>
    <t>10.1016/j.addlet.2026.100355</t>
  </si>
  <si>
    <t>https://doi.org/10.1016/j.addlet.2026.100355</t>
  </si>
  <si>
    <t>Agentic systems enable the intelligent use of research tooling, augmenting a researcher's ability to investigate and propose novel solutions to existing problems. Within Additive Manufacturing (AM), alloy selection and evaluation remains a complex challenge, often requiring expertise in the various domains of materials science, thermodynamic simulations, and experimental analysis. Large Language Model (LLM) enabled agents can facilitate this endeavor by utilizing their extensive knowledge base to dispatch tool calls via Model Context Protocol (MCP) to perform actions such as thermophysical property diagram calculations and lack of fusion process map generation. In addition, the multi-agent system can effectively reason through complex user prompts and provide analysis on the lack of fusion process window of common alloys such as SS316L and IN718 along with proposed composition variants of known alloys. These agents can dynamically adjust their task trajectory to the outcomes of tool call results, effectively enabling autonomous decision-making in practical environments. This work aims to showcase the benefits of adopting a LLM enabled multi-agent system to automate and accelerate the task of evaluating proposed additive manufacturing alloys, both novel and known.</t>
  </si>
  <si>
    <t>P-WOS-024</t>
  </si>
  <si>
    <t>Adaptive task planning and coordination in multi-agent manufacturing systems using large language models</t>
  </si>
  <si>
    <t>Lim, Jonghan; Zhao, Jiabao; Hernandez, Ezekiel; Kovalenko, Ilya</t>
  </si>
  <si>
    <t>10.1016/j.rcim.2026.103245</t>
  </si>
  <si>
    <t>https://doi.org/10.1016/j.rcim.2026.103245</t>
  </si>
  <si>
    <t>As the demand for personalized products increases, manufacturing processes are becoming more complex due to greater variety and uncertainty in product requirements. Traditional manufacturing systems face challenges in adapting to product changes without manual interventions, leading to an increase in product delays and operational costs. Multi-agent manufacturing control systems, a decentralized framework consisting of collaborative agents, have been employed to enhance flexibility and adaptability in manufacturing. However, existing multi-agent system approaches are often initialized with predefined capabilities, limiting their ability to handle new requirements that were not modeled in advance. To address this challenge, this work proposes a large language model-enabled multi-agent framework that enables adaptive matching, translating new product requirements to manufacturing process control at runtime. A product agent, which is a decision-maker for a product, interprets unforeseen product requirements and matches with manufacturing capabilities by dynamically retrieving manufacturing knowledge during runtime. Communication strategies and a decision-making method are also introduced to facilitate adaptive task planning and coordination. The proposed framework was evaluated using an assembly task board testbed across three case studies of increasing complexity. Results demonstrate that the framework can process unforeseen product requirements into executable operations, dynamically discover manufacturing capabilities, and improve resource utilization.</t>
  </si>
  <si>
    <t>P-WOS-025</t>
  </si>
  <si>
    <t>Assessing and Enhancing the Robustness of LLM-based Multi-Agent Systems Through Chaos Engineering</t>
  </si>
  <si>
    <t>Owotogbe, Joshua</t>
  </si>
  <si>
    <t>https://doi.org/10.1109/CAIN66642.2025.00039</t>
  </si>
  <si>
    <t>P-WOS-026</t>
  </si>
  <si>
    <t>Resource state adaptive collaboration mechanism based on resource modeling and multi-agent system</t>
  </si>
  <si>
    <t>Li, Zhengzuo; Piao, Chengxi; Chu, Dianhui; Tu, Zhiying; Hu, Xin; Ding, Deqiong</t>
  </si>
  <si>
    <t>10.1007/s40747-025-01882-0</t>
  </si>
  <si>
    <t>https://doi.org/10.1007/s40747-025-01882-0</t>
  </si>
  <si>
    <t>The management of complex, dynamic, and cross-domain resources in cyber-physical-human systems (CPHS) faces significant challenges under spatiotemporal dynamics, particularly resource state conflicts caused by rapid environmental changes and interdependent resource interactions. To address these challenges, this study proposes an integrated framework combining resource modeling and resource state adaptive collaboration mechanism. First, a resource modeling framework for state coordination (RMFS) is developed to unify the representation of heterogeneous resources, their functionalities, and collaborative relationships through hybrid structural and semantic modeling. A resource state adaptive collaboration mechanism (RSACM) integrates multi-agent systems with knowledge graph to achieve real-time state synchronization. Agents utilize the collaborative relationships in the graph to make adaptive collaborative decisions on resource states, in order to perform state transitions and alleviate resource availability conflicts. Further, a meta-path-based resource inference (MPRI) method enables efficient resource retrieval and applies to simulation experiments by leveraging conceptual-instance meta-paths and large language model (LLM)-augmented substitution strategies to resolve resource unavailability. Experimental validation across emergency healthcare scenario demonstrates the framework's effectiveness. An extension study was conducted on RMFS and RSACM through two cases from different fields. The proposed approach advances CPHS resource management by addressing heterogeneity, availability, and cooperativity in dynamic environments, offering theoretical and practical insights for complex system collaboration under spatiotemporal constraints.</t>
  </si>
  <si>
    <t>P-WOS-027</t>
  </si>
  <si>
    <t>Collaborative Problem-Solving with LLM: A Multi-agent System Approach to Solve Complex Tasks Using Autogen</t>
  </si>
  <si>
    <t>Barbosa, Ricardo; Santos, Ricardo; Novais, Paulo</t>
  </si>
  <si>
    <t>10.1007/978-3-031-73058-0\_17</t>
  </si>
  <si>
    <t>https://doi.org/10.1007/978-3-031-73058-0\_17</t>
  </si>
  <si>
    <t>This paper explores the utilization of Large Language Models (LLMs) in Multi-Agent Systems (MAS) in scenarios where the agents are expected to collaborate and negotiate their preferences, creating temporary alliances to achieve a common goal (complex task). MAS have been acknowledged for their potential in facilitating collaboration to solve complex problems. However, widespread adoption of MAS is impeded by challenges related to defining communication languages and developing frameworks that balance specificity for complex use cases with general applicability across different domains. The emergence of LLMs, such as GPT-4, presents a novel approach to MAS, offering advanced natural language processing capabilities that (potentially) circumventing the need for explicit communication language definitions. This paper proposes an MAS implementation utilizing LLMs within the Autogen framework, emphasizing collaboration and negotiation among agents, through a case study involving a product manufacturing scenario where agents are tasked with intricate decision-making. Results from three test scenarios demonstrate the efficacy of this approach, that can be used to enhance further developments in MAS scenarios of application. However, despite the promise, challenges remain, including the cost of running LLMs and the need for further exploration of their capabilities.</t>
  </si>
  <si>
    <t>P-WOS-028</t>
  </si>
  <si>
    <t>Parthasarathy, Kannan; Vaidhyanathan, Karthik; Dhar, Rudra; Krishnamachari, Venkat; Kakran, Adyansh; Akshathala, Sreemaee; Arun, Shrikara; Karan, Amey; Muhammed, Basil; Dubey, Sumant; Veerubhotla, Mohan</t>
  </si>
  <si>
    <t>https://doi.org/10.1109/CAIN66642.2025.00031</t>
  </si>
  <si>
    <t>Cloud Operations (CloudOps) is a rapidly growing field focused on the automated management and optimization of cloud infrastructure which is essential for organizations navigating increasingly complex cloud environments. MontyCloud Inc. is one of the major companies in the CloudOps domain that leverages autonomous bots to manage cloud compliance, security, and continuous operations. To make the platform more accessible and effective to the customers, we leveraged the use of GenAI. Developing a GenAI-based solution for autonomous CloudOps for the existing MontyCloud system presented us with various challenges such as i) diverse data sources; ii) orchestration of multiple processes and iii) handling complex workflows to automate routine tasks. To this end, we developed MOYA, a multi-agent framework that leverages GenAI and balances autonomy with the necessary human control. This framework integrates various internal and external systems and is optimized for factors like task orchestration, security, and error mitigation while producing accurate, reliable, and relevant insights by utilizing Retrieval Augmented Generation (RAG). Evaluations of our multi-agent system with the help of practitioners as well as using automated checks demonstrate enhanced accuracy, responsiveness, and effectiveness over non-agentic approaches across complex workflows.</t>
  </si>
  <si>
    <t>P-WOS-029</t>
  </si>
  <si>
    <t>Chagas, Eduarda T. C.; Guimardes, Frederico G.; Houmansadr, Amir; Ramos, Heitor S.</t>
  </si>
  <si>
    <t>https://doi.org/10.1109/ICDCSW63273.2025.00083</t>
  </si>
  <si>
    <t>With the rapid advancement of generative AI and autonomous agents, multi-agent systems (MASs) have emerged as a key paradigm for enabling groups of intelligent agents to coordinate, share knowledge, and collaboratively solve complex problems in distributed environments. These systems not only inherit classical challenges from distributed computing-such as scalability, fault tolerance, and efficient communication-but also introduce novel issues arising from the dynamic and autonomous interactions between AI agents. As a result, MASs constitute an active research area with numerous open problems and non-trivial challenges. This tutorial provides a comprehensive introduction to MASs fundamentals, covering the state-of-the-art methodologies, core architectural patterns, and the critical trade-offs involved in designing scalable distributed applications. Participants will engage with both the theoretical underpinnings and practical implementations of MASs, leveraging LangGraph, a widely adopted framework for developing collaborative AI agent workflows.</t>
  </si>
  <si>
    <t>P-WOS-030</t>
  </si>
  <si>
    <t>MaRAG: a knowledge graph and retrieval-augmented framework for maritime accident analysis</t>
  </si>
  <si>
    <t>Zou, Yingqi; Wang, Shaohan; Li, Guanyu; Ning, Bo</t>
  </si>
  <si>
    <t>10.1016/j.oceaneng.2025.123622</t>
  </si>
  <si>
    <t>https://doi.org/10.1016/j.oceaneng.2025.123622</t>
  </si>
  <si>
    <t>Maritime transportation underpins global trade and energy supply, however, growing fleet sizes, complex vessel systems, and evolving regulatory and environmental pressures necessitate more intelligent approaches to accident prevention, response, and analysis. Traditional knowledge management systems-reliant on expert experience and static databases-struggle with heterogeneous data, temporal-causal dynamics, and cross-disciplinary integration. Existing data-driven methods often lack structural grounding, reasoning-aware querying, and result traceability. To address these gaps, we propose MaRAG, a multi-agent framework that defines a new form of knowledge representation through a hierarchical, cascade-enhanced ontology and co-designs tailored retrieval and inference workflows. MaRAG integrates ontology-guided knowledge graph construction, Optimal Transport-based feature alignment, dual-database storage, and an intelligent, multi-paradigm retrieval mechanism. Experiments and case studies show that MaRAG significantly outperforms LLM-and RAG-based baselines in maritime accident Question-Answering and causal reasoning, achieving higher Exact Match, Precision, and F1 scores across varying knowledge graph scales. Analyses confirm its ability to reduce knowledge fragmentation and deliver a scalable, interpretable system for maritime safety decision-making.</t>
  </si>
  <si>
    <t>RQ1; RQ3; RQ4</t>
  </si>
  <si>
    <t>P-WOS-031</t>
  </si>
  <si>
    <t>Wang, Boxuan; Duan, Haonan; Feng, Yanhao; Chen, Xu; Fu, Yongjie; Mo, Zhaobin; Di, Xuan</t>
  </si>
  <si>
    <t>https://doi.org/10.1109/IAVVC63304.2024.10786452</t>
  </si>
  <si>
    <t>P-WOS-032</t>
  </si>
  <si>
    <t>Research and Application of a Multi-Agent-Based Intelligent Mine Gas State Decision-Making System</t>
  </si>
  <si>
    <t>Sun, Yi; Liu, Xinke</t>
  </si>
  <si>
    <t>10.3390/app15020968</t>
  </si>
  <si>
    <t>https://doi.org/10.3390/app15020968</t>
  </si>
  <si>
    <t>To address the issues of low efficiency in manual processing and lack of accuracy in judgment within traditional mine gas safety inspections, this paper designs and implements the Intelligent Mine Gas State Decision-Making System based on large language models (LLMs) and a multi-agent system. The system aims to enhance the accuracy of gas over-limit alarms and improve the efficiency of generating judgment reports. The system integrates the reasoning capabilities of LLMs and optimizes task allocation and execution efficiency of agents through the study of the hybrid multi-agent orchestration algorithm. Furthermore, the system establishes a comprehensive gas risk assessment knowledge base, encompassing historical alarm data, real-time monitoring data, alarm judgment criteria, treatment methods, and relevant policies and regulations. Additionally, the system incorporates several technologies, including retrieval-augmented generation based on human feedback mechanisms, tool management, prompt engineering, and asynchronous processing, which further enhance the application performance of the LLM in the gas status judgment system. Experimental results indicate that the system effectively improves the efficiency of gas alarm processing and the quality of judgment reports in coal mines, providing solid technical support for accident prevention and management in mining operations.</t>
  </si>
  <si>
    <t>P-WOS-033</t>
  </si>
  <si>
    <t>Demystifying the black box: AI-enhanced logistic regression for lead scoring</t>
  </si>
  <si>
    <t>Liu, Bingran</t>
  </si>
  <si>
    <t>10.1007/s10489-025-06430-4</t>
  </si>
  <si>
    <t>https://doi.org/10.1007/s10489-025-06430-4</t>
  </si>
  <si>
    <t>To mitigate interpretability challenges in business decision-making due to the black-box nature of generative Artificial Intelligence(AI), and to address high information processing costs and inconsistent feature collection standards, a novel marketing lead evaluation framework integrating large language models (LLMs) and classical machine learning algorithms was developed. The framework encompasses three modules: (1) a multi-agent question-answering system leveraging Retrieval-Augmented Generation(RAG) and LLMs; (2) a feature extraction and memory module for precise natural language and public data processing; and (3) a logistic regression (LR) model, trained on 540,000 automotive lead records, with associated calculation logic for decision support. Results indicate that the multi-agent system accurately identifies intentions and routes modules, the feature extraction module reduces manual follow-up costs, and the LR-guided LLM output enhances interpretability. These findings highlight the framework's potential for auditing abnormal events and advancing marketing intelligence and business systematization.</t>
  </si>
  <si>
    <t>P-WOS-034</t>
  </si>
  <si>
    <t>Multi-Agent Proactive Information Seeking with Adaptive LLM Orchestration for Non-Factoid Question Answering</t>
  </si>
  <si>
    <t>Chen, Xinran; Li, Yuchen; Cai, Henyi; Ma, Zhuoran; Chen, Xuanang; Xiong, Haoyi; Wang, Shuaiqiang; He, Ben; Sun, Le; Yin, Dawei</t>
  </si>
  <si>
    <t>10.1145/3711896.3737249</t>
  </si>
  <si>
    <t>https://doi.org/10.1145/3711896.3737249</t>
  </si>
  <si>
    <t>The proliferation of complex non-factoid questions in modern information seeking (IS) systems exposes critical limitations in conventional Retrieval-Augmented Generation (RAG) approaches, particularly their static search strategies and the lack of systematic multi-source information integration capabilities. Facing these limitations, we present PASS (Proactive Agent-driven Search System), a novel multi-agent framework that operationalizes human-like proactive search strategies through five specialized agents: Revealer for intent analysis, Navigator for search planning, Seeker/Reader for adaptive retrieval, andWriter for response synthesis, systematically expanding the search space through iterative query refinement and multi-perspective knowledge integration. Crucially, our framework demonstrates remarkable adaptability to mid-sized LLMs, demonstrating its scalability in resource-constrained environments. To comprehensively assess the effectiveness of the proposed framework, we carry out extensive experiments on both mid-sized and proprietary large-scale LLMs, evaluating response quality for complex non-factoid questions using a newly introduced nugget-based assessment. Experimental results from offline nugget-based evaluation and online A/B Tests confirm substantial improvements in answer quality, advancing proactive information seeking methodologies and offering practical pathways for democratizing complex reasoning capabilities to resource-constrained environments.</t>
  </si>
  <si>
    <t>P-WOS-035</t>
  </si>
  <si>
    <t>MALADE: Orchestration of LLM-powered Agents with Retrieval Augmented Generation for Pharmacovigilance</t>
  </si>
  <si>
    <t>Choi, Jihye; Palumbo, Nils; Chalasani, Prasad; Engelhard, Matthew M.; Jha, Somesh; Kumar, Anivarya; Page, David</t>
  </si>
  <si>
    <t>In the era of Large Language Models (LLMs), given their remarkable text understanding and generation abilities, there is an unprecedented opportunity to develop new, LLM-based methods for trustworthy medical knowledge synthesis, extraction, and summarization. This paper focuses on the problem of Pharmacovigilance (PhV), where the significance and challenges lie in identifying Adverse Drug Events (ADEs) from diverse text sources, such as medical literature, clinical notes, and drug labels. Unfortunately, this task is hindered by factors including variations in the terminologies of drugs and outcomes, and ADE descriptions often being buried in large amounts of narrative text. We present MALADE, the first effective collaborative multi-agent system powered by LLM with Retrieval Augmented Generation for ADE extraction from drug label data. This technique involves augmenting a query to an LLM with relevant information extracted from text resources, and instructing the LLM to compose a response consistent with the augmented data. MALADE is a general LLM-agnostic architecture, and its unique capabilities are: (1) leveraging a variety of external sources, such as medical literature, drug labels, and FDA tools (e.g., OpenFDA drug information API), (2) extracting drug-outcome association in a structured format along with the strength of the association, and (3) providing explanations for established associations. Instantiated with GPT-4 Turbo or GPT-4o, and FDA drug label data, MALADE demonstrates its efficacy with an Area Under ROC Curve of 0.90 against the OMOP Ground Truth table of ADEs. Our implementation leverages the Langroid multi-agent LLM framework and can be found at https://github.com/jihyechoi77/malade.</t>
  </si>
  <si>
    <t>P-WOS-036</t>
  </si>
  <si>
    <t>AI BIM coordinator for non-expert interaction in building design using LLM-driven multi-agent systems</t>
  </si>
  <si>
    <t>Dong, Yaxian; Zhan, Zijun; Hu, Yuqing; Doe, Daniel Mawunyo; Han, Zhu</t>
  </si>
  <si>
    <t>10.1016/j.autcon.2025.106563</t>
  </si>
  <si>
    <t>https://doi.org/10.1016/j.autcon.2025.106563</t>
  </si>
  <si>
    <t>The building construction domain relies heavily on human experts for specialized tasks, often leading to excessive workload and inefficiency. For example, building design coordination typically requires BIM coordinators to operate BIM tools on participants' behalf, with limited ability to capture procedural knowledge. To address this gap, this paper introduces AI-based BIM coordinators to enable non-BIM experts to seamlessly interact with BIM tools while automatically documenting valuable procedural information. The approach customizes five LLM-based agents equipped with fundamental building knowledge and skills. Through user prompts, the collaboration of ``bim\_assistant{''} and ``checker{''} agents ensures the accuracy and consistency of generated code, while the ``sender{''} and ``executor{''} agents facilitate direct execution in BIM tools beyond text-based responses, with the ``terminator{''} ending the process. An AutoGen-Revit prototype demonstrates feasibility, flexibility, robustness, and time-cost effectiveness for common BIM-based design coordination tasks, including space reasoning, 3D element creation, clash detection, informative 3D view saving, documentation, and retrieval. This paper enables specialist-free workflows and generates procedural logs and images that serve as datasets for future analysis.</t>
  </si>
  <si>
    <t>P-WOS-037</t>
  </si>
  <si>
    <t>Ogdu, Cagatay Umut; Arslanoglu, Kubra; Karakose, Mehmet</t>
  </si>
  <si>
    <t>https://doi.org/10.1109/ACCESS.2025.3613340</t>
  </si>
  <si>
    <t>Increasing data complexity in clinical decision-making processes hinders physicians'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t>
  </si>
  <si>
    <t>P-WOS-038</t>
  </si>
  <si>
    <t>LLM-Based Multi-Agent Decision-Making: Challenges and Future Directions</t>
  </si>
  <si>
    <t>Sun, Chuanneng; Huang, Songjun; Pompili, Dario</t>
  </si>
  <si>
    <t>10.1109/LRA.2025.3562371</t>
  </si>
  <si>
    <t>https://doi.org/10.1109/LRA.2025.3562371</t>
  </si>
  <si>
    <t>In recent years, Large Language Models (LLMs) have shown great abilities in various tasks, including question answering, arithmetic problem solving, and poetry writing, among others. Although research on LLM-as-an-agent has shown that LLM can be applied to Decision-Making (DM) and achieve decent results, the extension of LLM-based agents to Multi-Agent DM (MADM) is not trivial, as many aspects, such as coordination and communication between agents, are not considered in the DM frameworks of a single agent. To inspire more research on LLM-based MADM, in this letter, we survey the existing LLM-based single-agent and multi-agent decision-making frameworks and provide potential research directions for future research. In particular, we focus on the cooperative tasks of multiple agents with a common goal and communication among them. We also consider human-in/on-the-loop scenarios enabled by the language component in the framework.</t>
  </si>
  <si>
    <t>P-WOS-039</t>
  </si>
  <si>
    <t>TopoMAS: Large Language Model Driven Topological Materials Multi-Agent System</t>
  </si>
  <si>
    <t>Zhang, Baohua; Li, Xin; Xu, Huangchao; Jin, Zhong; Wu, Quansheng; Li, Ce</t>
  </si>
  <si>
    <t>10.1002/mgea.70045</t>
  </si>
  <si>
    <t>https://doi.org/10.1002/mgea.70045</t>
  </si>
  <si>
    <t>The discovery of topological materials is severely hampered by fragmented research workflows that cause information loss, inconsistent reasoning, and frequent computational failures. To overcome these barriers, we present TopoMAS, an interactive multi-agent framework that unifies the entire discovery pipeline through human-AI collaborative intelligence. TopoMAS seamlessly integrates natural language processing, knowledge retrieval from literature and databases, crystal structure generation, and automated first-principles validation. At its core, is a multi-level reasoning and coordination mechanism coupled with a self-refining knowledge graph. This architecture enhances query understanding and ensures computational robustness by adaptively allocating tasks, monitoring execution, and recovering from failures. In collaboration with human experts, TopoMAS has accelerated the identification of candidate topological phases and successfully guided the discovery of new materials. Benchmark evaluations show that TopoMAS's coordinated intelligence enables smaller, more efficient models to rival or even surpass the performance of substantially larger counterparts at a fraction of the computational cost. Ultimately, TopoMAS offers not only a powerful accelerator for materials research but also a transferable blueprint for building next-generation, AI-augmented discovery platforms across scientific disciplines.</t>
  </si>
  <si>
    <t>P-WOS-040</t>
  </si>
  <si>
    <t>Hierarchical Frameworks for Scaling-up Multi-agent Coordination</t>
  </si>
  <si>
    <t>Geng, Minghong</t>
  </si>
  <si>
    <t>Multi-agent reinforcement learning has emerged as a powerful framework for developing collaborative behaviors in autonomous systems. However, existing MARL methods often struggle with scalability in terms of both the number of agents and decision-making horizons. My research focuses on developing hierarchical approaches to scale up MARL systems through two complementary directions: structural scaling by increasing the number of coordinated agents and temporal scaling by extending planning horizons. My initial work introduced HiSOMA, a hierarchical framework integrating self-organizing neural networks with MARL for long-horizon planning, and MOSMAC, a benchmark for evaluating MARL methods on multi-objective MARL scenarios. Building on these foundations, my recent work studies L2M2, a novel framework that leverages large language models for high-level planning in hierarchical multi-agent systems. My ongoing research explores complex bimanual control tasks, specifically investigating multi-agent approaches for coordinated dual-hand manipulation.</t>
  </si>
  <si>
    <t>P-WOS-041</t>
  </si>
  <si>
    <t>Leveraging large language model to generate a novel metaheuristic algorithm with CRISPE framework</t>
  </si>
  <si>
    <t>Zhong, Rui; Xu, Yuefeng; Zhang, Chao; Yu, Jun</t>
  </si>
  <si>
    <t>10.1007/s10586-024-04654-6</t>
  </si>
  <si>
    <t>https://doi.org/10.1007/s10586-024-04654-6</t>
  </si>
  <si>
    <t>In this paper, we introduce the large language model (LLM) ChatGPT-3.5 to automatically and intelligently generate a new metaheuristic algorithm (MA) according to the standard prompt engineering framework CRISPE (i.e., Capacity and Role, Insight, Statement, Personality, and Experiment). The novel animal-inspired MA named Zoological Search Optimization (ZSO) draws inspiration from the collective behaviors of animals for solving continuous optimization problems. Specifically, the basic ZSO algorithm involves two search operators: the prey-predator interaction operator and the social flocking operator to balance exploration and exploitation well. Furthermore, we designed four variants of the ZSO algorithm with slight human-interacted adjustment. In numerical experiments, we comprehensively investigate the performance of ZSO-derived algorithms on CEC2014 benchmark functions, CEC2022 benchmark functions, and six engineering optimization problems. 20 popular and state-of-the-art MAs are employed as competitors. The experimental results and statistical analysis confirm the efficiency and effectiveness of ZSO-derived algorithms. At the end of this paper, we explore the prospects for the development of the metaheuristics community under the LLM era.</t>
  </si>
  <si>
    <t>P-WOS-042</t>
  </si>
  <si>
    <t>An interactive system for 3D spatial relationship query by integrating tree-based element indexing and LLM-based agent</t>
  </si>
  <si>
    <t>Li, Ang; Wong, Peter Kok-Yiu; Tao, Xingyu; Ma, Jun; Cheng, Jack C. P.</t>
  </si>
  <si>
    <t>10.1016/j.aei.2025.103375</t>
  </si>
  <si>
    <t>https://doi.org/10.1016/j.aei.2025.103375</t>
  </si>
  <si>
    <t>The spatial relationships of building information modeling (BIM) elements are essential to support various applications (e.g., compliance checking, path planning). While the large language models (LLMs) have shown promise in querying the BIM spatial relationship in an efficient and user-friendly manner, three critical challenges persist: extracting the complex spatial geometric information is error-prone, processing large number of elements is low efficient, and the exploitation integrating LLM and BIM spatial query task is still inadequate. Addressing these challenges, this paper develops an interactive natural language spatial query system based on the LLM-based agent system, with three major contributions: (1) an openBIM standards-based algorithm to extract complex geometric information; (2) a two-level spatial index to improve search efficiency; (3) an LLMbased multi-agent collaboration framework to deeply integrate LLM and spatial query task. Our proposed query system is verified in the case study with three BIM models. In our case study, our query can successfully extract geometric information from BIM models with complex layout to facilitate answering spatial query. The spatial index in our query system can significantly improve the efficiency of element search, which reduce 70\% of average total query time. Furthermore, our query system shows 92.1\% correctness rate in query understanding test. With such high understanding performance, the multi-agent system can decompose the spatial query task and assign it to LLM agents with different functionalities to cooperatively complete the spatial query task, which enhances the applicability of the query system.</t>
  </si>
  <si>
    <t>P-WOS-043</t>
  </si>
  <si>
    <t>MASTER: A Multi-Agent System with LLM Specialized MCTS</t>
  </si>
  <si>
    <t>Gan, Bingzheng; Zhao, Yufan; Zhang, Tianyi; Huang, Jing; Li, Yusu; Teo, Shu Xian; Zhang, Changwang; Shi, Wei</t>
  </si>
  <si>
    <t>Large Language Models (LLM) are increasingly being explored for problem-solving tasks. However, their strategic planning capability is often viewed with skepticism. Recent studies have incorporated the Monte Carlo Tree Search (MCTS) algorithm to augment the planning capacity of LLM. Despite its potential, MCTS relies on extensive sampling simulations to approximate the true reward distribution, which leads to two primary issues. Firstly, MCTS is effective for tasks like the Game of Go, where simulation results can yield objective rewards (e.g., 1 for a win and 0 for a loss). However, for tasks such as question answering, the result of a simulation is the answer to the question, which cannot yield an objective reward without the ground truth. Secondly, obtaining statistically significant reward estimations typically requires a sample size exceeding 30 simulations, resulting in excessive token usage and time consumption. To address these challenges, we present the Multi-Agent System with Tactical Execution and Reasoning using LLM Specialized MCTS (MASTER), a novel framework that coordinates agent recruitment and communication through LLM specialized MCTS. This system autonomously adjusts the number of agents based on task complexity and ensures focused communication among them. Comprehensive experiments across various tasks demonstrate the effectiveness of the proposed framework. It achieves 76\% accuracy on Hot-potQA and 80\% onWebShop, setting new state-of-the-art performance on these datasets.</t>
  </si>
  <si>
    <t>P-WOS-044</t>
  </si>
  <si>
    <t>Accelerating primer design for amplicon sequencing using large language model-powered agents</t>
  </si>
  <si>
    <t>Wang, Yi; Hou, Yuejie; Yang, Lin; Li, Shisen; Tang, Weiting; Tang, Hui; He, Qiushun; Lin, Siyuan; Zhang, Yanyan; Li, Xingyu; Chen, Shiwen; Huang, Yusheng; Kong, Lingsong; Zhang, Huijun; Yu, Duncan; Mu, Feng; Yang, Huanming; Wang, Jian; Hirankarn, Nattiya; Yang, Meng</t>
  </si>
  <si>
    <t>10.1038/s41551-025-01455-z</t>
  </si>
  <si>
    <t>https://doi.org/10.1038/s41551-025-01455-z</t>
  </si>
  <si>
    <t>The pre-trained knowledge compressed in large language models is addressing diverse scientific challenges and catalysing the progression of autonomous laboratory systems, synergized with liquid handling robots. Here we introduce PrimeGen, an orchestrated multi-agent system powered by large language models, designed to streamline labour-intensive primer design tasks for targeted next-generation sequencing. PrimeGen uses GPT-4o as a central controller to engage with experimentalists for task planning and decomposition, coordinating various specialized agents to execute distinct subtasks. These include an interactive search agent for retrieving gene targets from databases, a primer agent for designing primer sequences across multiple scenarios, a protocol agent for generating executable robot scripts through retrieval-augmented generation and prompt engineering, and an experiment agent equipped with a vision language model for detecting and reporting anomalies. We experimentally demonstrate the effectiveness of PrimeGen across a variety of applications. PrimeGen can accommodate up to 955 amplicons, ensuring high amplification uniformity and minimizing dimer formation. Our development underscores the potential of collaborative agents, coordinated by generalist foundation models, as intelligent tools for advancing biomedical research.</t>
  </si>
  <si>
    <t>P-WOS-045</t>
  </si>
  <si>
    <t>LLM-Based Agent Society Investigation: Collaboration and Confrontation in Avalon Gameplay</t>
  </si>
  <si>
    <t>Lan, Yihuai; Hu, Zhiqiang; Wang, Lei; Wang, Yang; Ye, Deheng; Zhao, Peilin; Lim, Ee-Peng; Xiong, Hui; Wang, Hao</t>
  </si>
  <si>
    <t>This paper explores the open research problem of understanding the social behaviors of LLM-based agents. Using Avalon as a testbed, we employ system prompts to guide LLM agents in gameplay. While previous studies have touched on gameplay with LLM agents, research on their social behaviors is lacking. We propose a novel framework, tailored for Avalon, features a multi-agent system facilitating efficient communication and interaction. We evaluate its performance based on game success and analyze LLM agents' social behaviors. Results affirm the framework's effectiveness in creating adaptive agents and suggest LLM-based agents' potential in navigating dynamic social interactions. By examining collaboration and confrontation behaviors, we offer insights into this field's research and applications. Our code is publicly available at https://github.com/3DAgentWorld/LLM- Game-Agent.</t>
  </si>
  <si>
    <t>P-WOS-046</t>
  </si>
  <si>
    <t>Using Generated Rubrics to Provide a Window Into Item Evaluation with Multi-agent LLMs</t>
  </si>
  <si>
    <t>Wang, Yu; Gopalakrishnan, Madhumitha; Bergner, Yoav</t>
  </si>
  <si>
    <t>10.1007/978-3-031-98420-4\_15</t>
  </si>
  <si>
    <t>https://doi.org/10.1007/978-3-031-98420-4\_15</t>
  </si>
  <si>
    <t>Large language models (LLMs) have been used to generate standard assessment items, but their capacity to generate complex, innovative items remains underexplored. A case in point is collaborative problem-solving (CPS) tasks which require communication, interdependence, and knowledge co-construction. Earlier work has shown that not only are LLMs deficient in generating CPS items, but they are also not reliably accurate at evaluating examples for basic qualities of interdependence. There is also a lack of transparency in the reasoning process of LLMs due to their ``black box{''} nature. This study tries to address these shortcomings by using a multi-agent workflow with rubric generation as an intermediate step while evaluating CPS math items. Rubrics are a plain-language form of knowledge representation. By generating rubrics, LLMs ``show{''} their reasoning about candidate items, making their logic transparent and human-interpretable. Using the CrewAI (multi-agent) framework, three specialized LLM agents were instructed to generate, refine, and finally apply evaluation rubrics to assess three types of CPS items (N = 63) that were known to be ``good{''} or ``bad{''} based on their structured interdependence. Quantitative measures of classification accuracy were compared between the multi-agent system and single-agent models that did not produce intermediate rubrics. Furthermore, the rubrics were qualitatively analyzed to determine (a) the degree to which the LLM rubrics mimicked expert thinking about CPS and (b) reflected different criteria for different types of items. Overall accuracy using the multi-agent system was not improved relative to single-agent performance and varied considerably between item types. Qualitative analysis revealed that while LLMs consistently emphasized criteria such as information dependency and communication, they struggled to distinguish task-specific nuances.</t>
  </si>
  <si>
    <t>RQ2; RQ3; RQ4; RQ5</t>
  </si>
  <si>
    <t>P-WOS-047</t>
  </si>
  <si>
    <t>CurriculumPT: LLM-Based Multi-Agent Autonomous Penetration Testing with Curriculum-Guided Task Scheduling</t>
  </si>
  <si>
    <t>Wu, Xingyu; Tian, Yunzhe; Chen, Yuanwan; Ye, Ping; Cui, Xiaoshu; Jia, Jingqi; Li, Shouyang; Liu, Jiqiang; Niu, Wenjia</t>
  </si>
  <si>
    <t>10.3390/app15169096</t>
  </si>
  <si>
    <t>https://doi.org/10.3390/app15169096</t>
  </si>
  <si>
    <t>While autonomous driving systems and intelligent transportation infrastructures become increasingly software-defined and network-connected, ensuring their cybersecurity has become a critical component of traffic safety. Large language models (LLMs) have recently shown promise in automating aspects of penetration testing, yet most existing approaches remain limited to simple, single-step exploits. They struggle to handle complex, multi-stage vulnerabilities that demand precise coordination, contextual reasoning, and knowledge reuse. This is particularly problematic in safety-critical domains, such as autonomous vehicles, where subtle software flaws can cascade across interdependent subsystems. In this work, we present CurriculumPT, a novel LLM-based penetration testing framework specifically designed for the security of intelligent systems. CurriculumPT combines curriculum learning and a multi-agent system to enable LLM agents to progressively acquire and apply exploitation skills across common vulnerabilities and exposures-based tasks. Through a structured progression from simple to complex vulnerabilities, agents build and refine an experience knowledge base that supports generalization to new attack surfaces without requiring model fine-tuning. We evaluate CurriculumPT on 15 real-world vulnerabilities scenarios and demonstrate that it outperforms three state-of-the-art baselines by up to 18 percentage points in exploit success rate, while achieving superior efficiency in execution time and resource usage. Our results confirm that CurriculumPT is capable of autonomous, scalable penetration testing and knowledge transfer, laying the groundwork for intelligent security auditing of modern autonomous driving systems and other cyberphysical transportation platforms.</t>
  </si>
  <si>
    <t>P-WOS-048</t>
  </si>
  <si>
    <t>A Semantic Framework for the Contextual Interpretation of ADHD Symptom Manifestations</t>
  </si>
  <si>
    <t>Traore, Ibrahim; Tawil, Abdel-Rahman H.; Vlachos, Konstantinos; Megdiche, Imen; Marquet-Doleac, Jerome; Chaari, Lotfi</t>
  </si>
  <si>
    <t>10.1145/3731443.3771356</t>
  </si>
  <si>
    <t>https://doi.org/10.1145/3731443.3771356</t>
  </si>
  <si>
    <t>Attention Deficit Hyperactivity Disorder is a neurodevelopmental disorder whose manifestations vary significantly depending on the context. This situational variability poses major challenges for assessing and understanding symptoms, particularly outside clinical environments. In this work, we propose a framework that integrates a contextual vision to enrich medical information. The framework is composed of three main components: a modular ontology that formalizes both medical and contextual dimensions of ADHD; a multi-agent system powered by large language models for automatically extracting and populating knowledge from heterogeneous data sources; and a clinical rule-based reasoning mechanism capable of inferring high-level interpretations from instantiated data. Experimental results demonstrate the framework's ability to generate accurate, context-sensitive interpretations of symptom manifestations. This approach lays the groundwork for more personalized, explainable, and context-aware patient monitoring, with promising applications in intelligent healthcare systems.</t>
  </si>
  <si>
    <t>P-WOS-049</t>
  </si>
  <si>
    <t>Joyce, Josephine Eskaline; Maheshwari, Shikha</t>
  </si>
  <si>
    <t>https://doi.org/10.1109/CONECCT65861.2025.11306519</t>
  </si>
  <si>
    <t>P-WOS-050</t>
  </si>
  <si>
    <t>Qu, Zheyan; Wang, Wenbo; Yu, Zitong; Sun, Boquan; Li, Yang; Zhang, Xing</t>
  </si>
  <si>
    <t>https://doi.org/10.1109/MCOM.001.2500148</t>
  </si>
  <si>
    <t>P-WOS-051</t>
  </si>
  <si>
    <t>Towards reliable generative AI-driven scaffolding: Reducing hallucinations and enhancing quality in self-regulated learning support</t>
  </si>
  <si>
    <t>Qian, Keyang; Liu, Shiqi; Li, Tongguang; Rakovic, Mladen; Li, Xinyu; Guan, Rui; Molenaar, Inge; Nawaz, Sadia; Swiecki, Zachari; Yan, Lixiang; Gasevic, Dragan</t>
  </si>
  <si>
    <t>10.1016/j.compedu.2025.105448</t>
  </si>
  <si>
    <t>https://doi.org/10.1016/j.compedu.2025.105448</t>
  </si>
  <si>
    <t>Generative Artificial Intelligence (GenAI) holds a potential to advance existing educational technologies with capabilities to automatically generate personalised scaffolds that support students' self-regulated learning (SRL). While advancements in large language models (LLMs) promise improvements in the adaptability and quality of educational technologies for SRL, there remain concerns about the hallucinations in content generated by LLMs, which can compromise both the learning experience and ethical standards. To address these challenges, we proposed GenAI-enabled approaches for evaluating personalised SRL scaffolds before they are presented to students, aiming for reducing hallucinations and improving overall quality of LLM-generated personalised scaffolds. Specifically, two approaches are investigated. The first approach involved developing a multi-agent system approach for reliability evaluation to assess the extent to which LLM-generated scaffolds accurately target relevant SRL processes. The second approach utilised the ``LLM-as-a-Judge{''} technique for quality evaluation that evaluates LLM-generated scaffolds for their helpfulness in supporting students. We constructed evaluation datasets, and compared our results with single-agent LLM systems and machine learning approach baselines. Our findings indicate that the reliability evaluation approach is highly effective and outperforms the baselines, showing almost perfect alignment with human experts' evaluations. Moreover, both proposed evaluation approaches can be harnessed to effectively reduce hallucinations. Additionally, we identified and discussed bias limitations of the ``LLM-as-a-Judge{''} technique in evaluating LLM-generated scaffolds. We suggest incorporating these approaches into GenAIpowered personalised SRL scaffolding systems to mitigate hallucination issues and improve the overall scaffolding quality.</t>
  </si>
  <si>
    <t>P-WOS-052</t>
  </si>
  <si>
    <t>Cued-Agent: A Collaborative Multi-Agent System for Automatic Cued Speech Recognition</t>
  </si>
  <si>
    <t>Huang, Guanjie; Tsang, Danny H. K.; Yang, Shan; Lei, Guangzhi; Liu, Li</t>
  </si>
  <si>
    <t>10.1145/3746027.3755423</t>
  </si>
  <si>
    <t>https://doi.org/10.1145/3746027.3755423</t>
  </si>
  <si>
    <t>Cued Speech (CS) is a visual communication system that combines lip-reading with hand coding to facilitate communication for individuals with hearing impairments. Automatic CS Recognition (ACSR) aims to convert CS hand gestures and lip movements into text via AI-driven methods. Traditionally, the temporal asynchrony between hand and lip movements requires the design of complex modules to facilitate effective multimodal fusion. However, constrained by limited data availability, current methods demonstrate insufficient capacity for adequately training these fusion mechanisms, resulting in suboptimal performance. Recently, multi-agent systems have shown promising capabilities in handling complex tasks with limited data availability. To this end, we propose the first collaborative multi-agent system for ACSR, named Cued-Agent. It integrates four specialized sub-agents: a Multimodal Large Language Model-based Hand Recognition agent that employs keyframe screening and CS expert prompt strategies to decode hand movements, a pretrained Transformer-based Lip Recognition agent that extracts lip features from the input video, a Hand Prompt Decoding agent that dynamically integrates hand prompts with lip features during inference in a training-free manner, and a Self-Correction Phoneme-to-Word agent that enables post-processing and end-toend conversion from phoneme sequences to natural language sentences for the first time through semantic refinement. To support this study, we expand the existing Mandarin CS dataset by collecting data from eight hearing-impaired cuers1, establishing a mixed dataset of fourteen subjects. Extensive experiments demonstrate that our Cued-Agent performs superbly in both normal and hearingimpaired scenarios compared with state-of-the-art methods. The implementation is available at https://github.com/DennisHgj/CuedAgent.</t>
  </si>
  <si>
    <t>P-WOS-053</t>
  </si>
  <si>
    <t>THE AGENTOPIA TIMES: Understanding and Mitigating Hallucinations in Multi-Agent LLM Systems via Data Journalism Gameplay</t>
  </si>
  <si>
    <t>Lu, Yilin (Harry); Du, Shurui; Wang, Qianwen</t>
  </si>
  <si>
    <t>https://doi.org/10.1109/VIS60296.2025.00037</t>
  </si>
  <si>
    <t>Large language models (LLMs) are increasingly used to support data analysis and visualization tasks, but remain prone to hallucinations. Recent work suggests that multi-agent systems (MAS) can mitigate hallucinations by enabling internal validation and cross-verification. However, learning effective MAS coordination strategies to mitigate hallucination remains challenging, particularly for newcomers, due to the wide range of coordination strategies and the lack of interactive, hands-on learning tools. To address this, we present THE AGENTOPIA TIMES, an educational game that teaches hallucination mitigation through active experimentation with MAS coordination strategies. THE AGENTOPIA TIMES simulates a newsroom where LLM agents collaborate to create data-driven narratives, with users tasked with adjusting communication protocols to manage hallucinated content. The game features a structured mapping between MAS coordination and familiar gameplay mechanics, providing immediate feedback on hallucination outcomes. Through use cases and preliminary user feedback, we demonstrate how THE AGENTOPIA TIMES enables users to explore and mitigate hallucination in MAS.</t>
  </si>
  <si>
    <t>P-WOS-054</t>
  </si>
  <si>
    <t>MACM: Utilizing a Multi-Agent System for Condition Mining in Solving Complex Mathematical Problems</t>
  </si>
  <si>
    <t>Bin Lei; Zhang, Yi; Zuo, Shan; Payani, Ali; Ding, Caiwen</t>
  </si>
  <si>
    <t>Recent advancements in large language models, such as GPT-4, have demonstrated remarkable capabilities in processing standard queries. Despite these advancements, their performance substantially declines in advanced mathematical problems requiring complex, multi-step logical reasoning. To enhance their inferential capabilities, current research has delved into prompting engineering, exemplified by methodologies such as the Tree of Thought and Graph of Thought. Nonetheless, these existing approaches encounter two significant limitations. Firstly, their effectiveness in tackling complex mathematical problems is somewhat constrained. Secondly, the necessity to design distinct prompts for individual problems hampers their generalizability. In response to these limitations, this paper introduces the Multi-Agent System for conditional Mining (MACM) prompting method. It not only resolves intricate mathematical problems but also demonstrates strong generalization capabilities across various mathematical contexts. With the assistance of MACM, the accuracy of GPT-4 Turbo on the most challenging level five mathematical problems in the MATH dataset increase from 54.68\% to 76.73\%. The code is available in https://github.com/bin123apple/MACM.</t>
  </si>
  <si>
    <t>P-WOS-055</t>
  </si>
  <si>
    <t>Build a Multimodal Interaction and Multi-Agent Collaborative Decision-Making Mechanism Enhanced by Large Models in the Intelligent Decision-Making System for Distribution Network Production</t>
  </si>
  <si>
    <t>Zhang, Wei; Wang, Song; Zhang, Shuai; Lei, Yuanyuan; Bao, Lianwei</t>
  </si>
  <si>
    <t>10.1142/S1469026825500154</t>
  </si>
  <si>
    <t>https://doi.org/10.1142/S1469026825500154</t>
  </si>
  <si>
    <t>With the rapid development of the new power system, the complexity of distribution network operation has put forward higher requirements for the real-time, accuracy, and intelligence of production command. Traditional decision-making systems have bottlenecks in heterogeneous data fusion, human-computer interaction efficiency, and decision-making science. To address the above challenges, this paper proposes an intelligent decision-making system for distribution network production enhanced by large language models (LLMs). The core contributions of this system are as follows: (1) A three-layer heterogeneous intelligent architecture integrating perception, cognition, and execution is constructed to realize the complete process from multimodal data input to closed-loop control; (2) An LLM-driven multimodal fusion and interaction mechanism is designed to uniformly encode unstructured information such as SCADA time-series data, on-site images, and voice commands into high-dimensional semantic features, realizing the comprehensiveness of situation awareness (SA) and the naturalness of human-computer interaction; (3) A multi-agent collaborative decision-making framework based on the improved contract net protocol (CNP) is proposed. The command intelligent agent empowered by the LLM decomposes and schedules complex tasks, driving each professional intelligent agent to perform parallel optimization. The system is verified in a typical distribution network fault handling scenario. The results show that compared with the traditional manual method, the proposed system reduces the end-to-end decision-making time from more than 30min to within 4min, with a reduction rate of more than 85\%; the comprehensive accuracy rate of its fault location and recovery strategy reaches more than 98\%, and the generated recovery strategy is significantly superior to the static rule-based expert system in terms of safety and economy. This research provides an innovative paradigm and technical path for the in-depth application of large model technology in the field of power critical infrastructure.</t>
  </si>
  <si>
    <t>P-WOS-056</t>
  </si>
  <si>
    <t>Comparing a Human's and a Multi-Agent System's Thematic Analysis: Assessing Qualitative Coding Consistency</t>
  </si>
  <si>
    <t>Simon, Sebastian; Sankaranarayanan, Sreecharan; Tajik, Elham; Borchers, Conrad; Shahrokhian, Bahar; Balzan, Francesco; Strauss, Sebastian; Viswanathan, Sree Aurovindh; Atas, Amine Hatun; Carapina, Mia; Liang, Li; Celik, Berkan</t>
  </si>
  <si>
    <t>10.1007/978-3-031-98420-4\_5</t>
  </si>
  <si>
    <t>https://doi.org/10.1007/978-3-031-98420-4\_5</t>
  </si>
  <si>
    <t>Large Language Models (LLMs) have demonstrated fluency in text generation and reasoning tasks. Consequently, the field has probed the ability of LLMs to automate qualitative analysis, including inductive thematic analysis (iTA), previously achieved through human reasoning only. Studies using LLMs for iTA have yielded mixed results so far. LLMs have successfully been used for isolated steps of iTA in hybrid setups. With recent advances in multi-agent systems (MAS) enabling complex reasoning and task execution through multiple, collaborating LLM agents, the first results point towards the possibility of automating sequences of the iTA process. However, previous work especially lacks methodological standards for assessing the reliability and validity of LLM-derived iTA. Thus, in this paper, we propose a method for assessing the quality of iTA systems based on consistency with human coding on a benchmark dataset. We present criteria for benchmark datasets and an expert blind review with this method on two iTA outputs: one iTA conducted by domain experts, and another fully automated with a MAS built on the Claude 3.5 Sonnet LLM. Results indicate a high level of consistency and contribute evidence that complex qualitative analysis methods common in AIED research can be carried out by MAS.</t>
  </si>
  <si>
    <t>P-WOS-057</t>
  </si>
  <si>
    <t>Enhancing Multi-Agent Systems via Reinforcement Learning with LLM-based Planner and Graph-based Policy</t>
  </si>
  <si>
    <t>Jia, Ziqi; Li, Junjie; Qu, Xiaoyang; Wang, Jianzong</t>
  </si>
  <si>
    <t>https://doi.org/10.1109/ICRA55743.2025.11127486</t>
  </si>
  <si>
    <t>P-WOS-058</t>
  </si>
  <si>
    <t>RevTogether: Supporting Science Story Revision with Multiple AI Agents</t>
  </si>
  <si>
    <t>Zhang, Yu; Fu, Kexue; Lu, Zhicong</t>
  </si>
  <si>
    <t>10.1145/3706599.3719888</t>
  </si>
  <si>
    <t>https://doi.org/10.1145/3706599.3719888</t>
  </si>
  <si>
    <t>As a popular form of science communication, science stories attract readers because they combine engaging narratives with comprehensible scientific knowledge. However, crafting such stories requires substantial skill and effort, as writers must navigate complex scientific concepts and transform them into coherent and accessible narratives tailored to audiences with varying levels of scientific literacy. To address the challenge, we propose RevTogether, a multi-agent system (MAS) designed to support revision of science stories with human-like AI agents (using GPT-4o). RevTogether allows AI agents to simulate affects in addition to providing comments and writing suggestions, while offering varying degrees of user agency. Our preliminary user study with non-expert writers (N=3) highlighted the need for transparency in AI agents' decision-making processes to support learning and suggested that emotional interactions could enhance human-AI collaboration in science storytelling.</t>
  </si>
  <si>
    <t>P-WOS-059</t>
  </si>
  <si>
    <t>Interdisciplinary Co-design with LLM-Based Multi-agents: A Human-AI Platform for Complex Design Challenges</t>
  </si>
  <si>
    <t>Tseng, Yuan-Chi; Chang, Yu-Yi</t>
  </si>
  <si>
    <t>10.1007/978-3-031-93733-0\_25</t>
  </si>
  <si>
    <t>https://doi.org/10.1007/978-3-031-93733-0\_25</t>
  </si>
  <si>
    <t>Addressing complex global challenges, such as sustainability and the circular economy, demands interdisciplinary collaboration. However, such efforts are often hindered by knowledge silos, value conflicts, and communication barriers. This paper presents a novel co-design platform that integrates a human designer with a team of multi-agents powered by Large Language Models (LLMs). Grounded in the Double Diamond model, the platform facilitates iterative cycles of divergence and convergence, leveraging design cards to encapsulate and structure interdisciplinary insights into accessible formats. The multi-agent system includes LLM-based agents specializing in distinct domains-environment, technology, and psychosocial factors-enabling targeted and holistic problem-solving. A case study exploring circular economy solutions demonstrates the platform's efficacy in bridging knowledge gaps, resolving value conflicts, and enhancing creativity. Results show that human-guided AI collaboration fosters a dynamic and scalable co-design process, offering actionable solutions to complex interdisciplinary challenges.</t>
  </si>
  <si>
    <t>P-WOS-060</t>
  </si>
  <si>
    <t>Zhang, Junfeng; Liao, Jinzhi; Tang, Jiuyang; Zhao, Xiang</t>
  </si>
  <si>
    <t>https://doi.org/10.1109/TSE.2025.3632508</t>
  </si>
  <si>
    <t>The emergence of large language models (LLMs) has greatly advanced automated code generation, with multi-agent systems comprising multiple LLMs gaining attention for their collaborative potential. However, most multi-agent systems still rely on large LLMs, leading to high computational costs and data privacy risks. Small LLMs provide a resource-efficient and privacy-preserving alternative; however, directly replacing them in conventional multi-agent frameworks leads to considerable performance degradation. This paper initially identifies two fundamental challenges in achieving effective collaboration among small LLMs: the difficulty in accurately interpreting complex role prompts and the fragility of inter-agent coordination. To overcome these, we propose MASDP, a multi-agent system for code generation with dynamic precaution tuning, inspired by the whistleblowing mechanism. MASDP introduces a fine-tuned Reminder agent that proactively anticipates potential errors, shifts the burden of code optimization from the Programmer to itself, and iteratively refines precautions based on execution feedback-thereby enhancing cooperation and reliability. Extensive experiments show that MASDP, built entirely on small LLMs, outperforms state-of-the-art baselines, including GPT-4, while substantially reducing computational overhead and safeguarding data privacy.</t>
  </si>
  <si>
    <t>P-WOS-061</t>
  </si>
  <si>
    <t>Elhaimeur, Iizalaarab; Chrisochoides, Nikos</t>
  </si>
  <si>
    <t>https://doi.org/10.1109/QCE65121.2025.20549</t>
  </si>
  <si>
    <t>P-WOS-062</t>
  </si>
  <si>
    <t>Liu, Hong-Hsiang; Liu, Yi-Wen</t>
  </si>
  <si>
    <t>https://doi.org/10.1109/O-COCOSDA64382.2024.10800588</t>
  </si>
  <si>
    <t>Generative Large Language Models have shown impressive in-context learning abilities, performing well across various tasks with just a prompt. Previous melody-to-lyric research has been limited by scarce high-quality aligned data and unclear standard for creativeness. Most efforts focused on general themes or emotions, which are less valuable given current language model capabilities. In tonal contour languages like Mandarin, pitch contours are influenced by both melody and tone, leading to variations in lyric-melody fit. Our study, validated by the Mpop600 dataset, confirms that lyricists and melody writers consider this fit during their composition process. In this research, we developed a multi-agent system that decomposes the melody-to-lyric task into sub-tasks, with each agent controlling rhyme, syllable count, lyric-melody alignment, and consistency. Listening tests were conducted via a diffusion-based singing voice synthesizer to evaluate the quality of lyrics generated by different agent groups.</t>
  </si>
  <si>
    <t>P-WOS-063</t>
  </si>
  <si>
    <t>FINCON: A Synthesized LLM Multi-Agent System with Conceptual Verbal Reinforcement for Enhanced Financial Decision Making</t>
  </si>
  <si>
    <t>Yu, Yangyang; Yao, Zhiyuan; Li, Haohang; Deng, Zhiyang; Jiang, Yuechen; Cao, Yupeng; Chen, Zhi; Suchow, Jordan W.; Cui, Zhenyu; Liu, Rong; Xu, Zhaozhuo; Zhang, Denghui; Subbalakshmi, Koduvayur; Xiong, Guojun; He, Yueru; Huang, Jimin; Li, Dong; Xie, Qianqian</t>
  </si>
  <si>
    <t>Large language models (LLMs) have shown potential in complex financial tasks, but sequential financial decision-making remains challenging due to the volatile environment and the need for intelligent risk management. While LLM-based agent systems have achieved impressive returns, optimizing multi-source information synthesis and decision-making through timely experience refinement is underexplored. We introduce FINCON, an LLM-based multi-agent framework with CONceptual verbal reinforcement for diverse FINancial tasks. Inspired by real-world investment firm structures, FINCON employs a manager-analyst hierarchy, enabling synchronized cross-functional agent collaboration towards unified goals via natural language interactions. Its dual-level risk-control component enhances decision-making by monitoring daily market risk and updating systematic investment beliefs through self-critique. These conceptualized beliefs provide verbal reinforcement for future decisions, selectively propagated to relevant agents, improving performance while reducing unnecessary peer-to-peer communication costs. FINCON generalizes well across tasks, including single stock trading and portfolio management.</t>
  </si>
  <si>
    <t>P-WOS-064</t>
  </si>
  <si>
    <t>IBGP: Imperfect Byzantine Generals Problem for Zero-Shot Robustness in Communicative Multi-agent Systems</t>
  </si>
  <si>
    <t>Mao, Yihuan; Kang, Yipeng; Li, Peilun; Xu, Wei; Zhang, Chongjie</t>
  </si>
  <si>
    <t>10.1007/978-3-032-00686-8\_37</t>
  </si>
  <si>
    <t>https://doi.org/10.1007/978-3-032-00686-8\_37</t>
  </si>
  <si>
    <t>As we move towards the era of AGI, AI agents increasingly integrate into our infrastructure, making their robust coordination and message synchronization vital for ensuring reliable and secure multiagent interactions. The Byzantine Generals Problem (BGP) is a critical model for constructing resilient multi-agent systems (MAS) under adversarial attacks. It describes a scenario where malicious agents with unknown identities exist in the system-situations that, in our context, could result from LLM agents' hallucinations or intentional attacks. In BGP, the objective of the entire system is to reach a consensus on the action to be taken. Traditional BGP requires global consensus among all agents; however, in practical scenarios, global consensus is not always necessary and can even be inefficient. Therefore, a refined version of BGP that aligns with the MAS local coordination patterns is needed. We refer to it as Imperfect BGP (IBGP). To tackle this issue, we propose a framework that leverages consensus protocols within general MAS settings, providing provable resilience against communication attacks and adaptability to changing environments, as validated by empirical results.(1)(For a full version of the paper including appendix, please refer to https:// arxiv.org/abs/2410.16237.</t>
  </si>
  <si>
    <t>P-WOS-065</t>
  </si>
  <si>
    <t>An agentic system for rare disease diagnosis with traceable reasoning</t>
  </si>
  <si>
    <t>Zhao, Weike; Wu, Chaoyi; Fan, Yanjie; Qiu, Pengcheng; Zhang, Xiaoman; Sun, Yuze; Zhou, Xiao; Zhang, Shuju; Peng, Yu; Wang, Yanfeng; Sun, Xin; Zhang, Ya; Yu, Yongguo; Sun, Kun; Xie, Weidi</t>
  </si>
  <si>
    <t>10.1038/s41586-025-10097-9</t>
  </si>
  <si>
    <t>https://doi.org/10.1038/s41586-025-10097-9</t>
  </si>
  <si>
    <t>Rare diseases affect more than 300 million people worldwide1, 2-3, yet timely and accurate diagnosis remains an urgent challenge1,3, 4-5. Patients often endure a prolonged `diagnostic odyssey' exceeding 5 years, marked by repeated referrals, misdiagnoses and unnecessary interventions, leading to delayed treatment and substantial emotional and economic burden4,5. Here we present DeepRare-a multi-agent system for rare disease differential diagnosis decision support6, 7-8 powered by large language models, integrating more than 40 specialized tools and up-to-date knowledge sources. DeepRare processes heterogeneous clinical inputs, including free-text descriptions, structured human phenotype ontology terms and genetic testing results to generate ranked diagnostic hypotheses with transparent reasoning linked to verifiable medical evidence. Evaluated across nine datasets from literature, case reports and clinical centres across Asia, North America and Europe spanning 14 medical specialties, DeepRare demonstrates exceptional performance on 2,919 diseases. In human-phenotype-ontology-based tasks, it achieves an average Recall@1 of 57.18\%, outperforming the next best method by 23.79\%; in multi-modal tests, it reaches 69.1\% compared with Exomiser's 55.9\% on 168 cases. Expert review achieved 95.4\% agreement on its reasoning chains, confirming their validity and traceability. Our work not only advances rare disease diagnosis but also demonstrates how the latest powerful large-language-model-driven agentic systems can reshape current clinical workflows.</t>
  </si>
  <si>
    <t>P-WOS-066</t>
  </si>
  <si>
    <t>Co-DIRECT: A knowledge-augmented multi-agent framework for interactive drama script generation</t>
  </si>
  <si>
    <t>Yang, Boai; Peng, Jiapai; Tang, Shiyi; Tan, Jiani; Zhou, Fengbo; Cui, Shenglan; Qu, Wei; Li, Tao; Liu, Fang; Wang, Dong</t>
  </si>
  <si>
    <t>10.1016/j.eswa.2025.130571</t>
  </si>
  <si>
    <t>https://doi.org/10.1016/j.eswa.2025.130571</t>
  </si>
  <si>
    <t>Drama script generation is a challenging yet valuable task with applications in film, gaming, and digital storytelling. Current LLM-and agent-based methods achieve some narrative coherence but often suffer from content homogenization, limited creativity, and underdefined human roles. To address these issues, we propose Co-DIRECT, a human-AI co-creation framework that positions a human director as a central collaborator in a Director-in-the-Loop (DiL) paradigm and employs a multi-agent structure: a Writer Agent constructs narrative arcs, an Actor Agent performs context-aware dialogues, and a Critic Agent evaluates consistency and emotional expressiveness. An ontology-driven knowledge graph extracts narratological principles from classical scripts to guide plot development and iterative refinement. Extensive evaluations show that Co-DIRECT outperforms strong baselines in narrative coherence, emotional depth, content diversity, and script structure. These results highlight the benefits of combining narratological knowledge, multi-agent collaboration, and DiL human guidance for controllable and creative script generation.</t>
  </si>
  <si>
    <t>P-WOS-067</t>
  </si>
  <si>
    <t>Qayyum, Adnan; Albaseer, Abdullatif; Qadir, Junaid; Al-Fuqaha, Ala; Abdallah, Mohamed</t>
  </si>
  <si>
    <t>https://doi.org/10.1109/MNET.2025.3605319</t>
  </si>
  <si>
    <t>P-WOS-068</t>
  </si>
  <si>
    <t>Case Studies on LLM Centric and Services Oriented Data Analytics Agent Development</t>
  </si>
  <si>
    <t>Yu, Hong Qing; Sutton, Jack; O'Neill, Sam; Reiff-Marganiec, Stephan</t>
  </si>
  <si>
    <t>10.1145/3708635.3708655</t>
  </si>
  <si>
    <t>https://doi.org/10.1145/3708635.3708655</t>
  </si>
  <si>
    <t>This paper presents a novel service orchestration framework for a chatbot application focused on data analytics questions. The framework integrates Large Language Models (LLMs) with service-oriented computing to transform data analytics into a dynamic, conversational experience. The approach leverages advancements in LLM technology to enable real-time, automated data insights via chatbot interfaces, making complex data analytics accessible across various industries. In addition, the data will be processed and analysis at edge-machine rather than post all the data directly to the LLMs on the cloud. Therefore, the Central to the framework is the local Micro Analytics Service (MAS) and a dynamic service-data coordination framework, which together facilitate the decoupling of data from business logic, allowing for intuitive engagement with analytics processes. Through two case studies, retail data analysis and regional healthcare planning, the ability of the framework to provide actionable insights through natural language prompts is demonstrated, showcasing its potential to significantly reduce barriers to sophisticated data analytics. The evaluation reveals strong performance in data connection and code generation, with identified areas for improvement in visualizations and handling complex data scenarios.</t>
  </si>
  <si>
    <t>P-WOS-069</t>
  </si>
  <si>
    <t>HEAR: A Holistic Extraction and Agentic Reasoning Framework for Document Understanding</t>
  </si>
  <si>
    <t>Chen, Longfeng; Xiao, Zheng; Wang, Juyuan; Huang, Zeyu; Zeng, Yawen; Xut, Jin</t>
  </si>
  <si>
    <t>10.1145/3746027.3761999</t>
  </si>
  <si>
    <t>https://doi.org/10.1145/3746027.3761999</t>
  </si>
  <si>
    <t>The automated comprehension of complex, multi-modal documents is fundamentally hampered by a disconnect between information extraction and reasoning. Existing systems suffer from inherent limitations. Monolithic models embed reasoning as a black box process, sacrificing transparency and depth. Meanwhile, current agent-based frameworks follow a passive, non-interactive paradigm; they handle static, global inputs rather than information derived from active exploration, which fundamentally restricts their ability to achieve structural understanding and complex reasoning. To bridge this critical gap, we introduce HEAR, a framework for Holistic Extraction and Agentic Reasoning. This innovative framework establishes a synergistic, closed-loop between a deep Vision-Language Model (VLM) driven holistic parsing engine and a collaborative multi-agent reasoning system. Our HEAR initially transforms unstructured documents into a semantically-rich, structured representation, preserving complex layouts and reconstituting multi-page tables. Subsequently, a multi-agent system performs cross-modal analysis, governed by a crucial verification protocol that forces agents to validate findings across textual and visual modalities. A conflict driven re-evaluation mechanism enables the system to dynamically re-engage the document to resolve ambiguities, thereby unifying the perception-cognition cycle. HEAR achieved first place in the ACM MM 2025 Grand Challenge on Large Vision-Language Model Learning and Applications(1).</t>
  </si>
  <si>
    <t>P-WOS-070</t>
  </si>
  <si>
    <t>Liang, Yongzhe; Jiang, Ruihong; Wei, Bisheng; Tian, Wen; Ma, Zhangfeng</t>
  </si>
  <si>
    <t>https://doi.org/10.1109/TNSE.2025.3618771</t>
  </si>
  <si>
    <t>With the growing demand for high-quality 3D content in future wireless networks, minimizing energy consumption for 3D object reconstruction and transmission under strict performance constraints becomes a critical challenge. This paper investigates the problem of minimizing energy consumption for 3D object reconstruction and transmission in a network composed of multiple Network Service Provider-User Equipment (NSP-UE) pairs, where the Quality of Experience (QoE), the user information quality of service (QoS), and the power budget are considered as constraints. To solve the complex multi-pair hybrid task, a Multi-Agent Mixture-of-Experts (MAMoE) framework is proposed to simultaneously optimize 3D object reconstruction and transmission tasks. Integrating the strengths of Multi-Agent Systems (MAS) and Mixture-of-Experts (MoE), the proposed framework dynamically coordinates tasks among decentralized NSPs, with each provider leveraging specialized neural network experts for handling distinct reconstruction and communication subtasks. The reconstruction expert is responsible for selecting a subset of images to reconstruct the 3D object via classical Structure-from-Motion (SfM) and Multi-View Stereo (MVS) methodologies, where the reconstruction quality is evaluated through a comprehensive semantic assessment powered by a Large Language Model (LLM) module. The communication expert is responsible for transmitting the 3D object to the UE, which utilizes a tailored Proximal Policy Optimization (PPO) algorithm designed to optimize the transmission power. Simulation results demonstrate that the proposed framework outperforms both centralized MoE-Proximal Policy Optimization (MoE-PPO) and traditional decentralized Multi-Agent PPO (MAPPO) frameworks. Moreover, we investigate the impact of the number of NSP-UE pairs, QoE and QoS constraints, and time-varying channels on system performance.</t>
  </si>
  <si>
    <t>P-WOS-071</t>
  </si>
  <si>
    <t>Mushtaq, Abdullah; Naeem, Rafay; Ghaznavi, Ibrahim; Taj, Imran; Hashmi, Imran; Qadir, Junaid</t>
  </si>
  <si>
    <t>https://doi.org/10.1109/EDUCON62633.2025.11016653</t>
  </si>
  <si>
    <t>Multi-Agent Large Language Models (LLMs) are gaining attention for their ability to harness collective intelligence in complex problem-solving, decision-making, and planning tasks. This aligns with the wisdom of crowds concept, where diverse agents collectively generate effective solutions, making them well-suited for educational settings. Senior design projects, pivotal in engineering education, integrate theoretical knowledge with practical application, fostering critical thinking, teamwork, and real-world problem-solving skills. These projects often involve multidisciplinary considerations and conflicting objectives, such as optimizing technical performance while addressing ethical, social, and environmental concerns. In this paper, we explore a framework where distinct LLM agents embody expert perspectives, including problem formulation, system complexity, societal and ethical considerations, and project management. These agents engage in rich, collaborative dialogues, leveraging multi-agent system principles like coordination, cooperation, and negotiation. Prompt engineering is employed to create diverse personas, simulating human engineering teams and incorporating swarm AI principles to balance contributions efficiently. To evaluate the framework, we analyzed six senior capstone project proposals from engineering and computer science, comparing Multi-Agent and single-agent LLMs using metrics developed with engineering faculty and widely used NLP-based measures. These metrics assess technical quality, ethical considerations, social impact, and feasibility, aligning with the educational objectives of engineering design. Our findings suggest that Multi-Agent LLMs can provide a richer, more inclusive problem-solving environment compared to single-agent systems with 89\% alignment with engineering-faculty scores, offering a promising tool for enhancing the educational experience of engineering and computer science students by simulating the complexity and collaboration of real-world engineering and computer science practice. By supporting senior design projects, this tool not only aids in achieving academic excellence but also prepares students for the multifaceted challenges they will face in their professional engineering careers. We have open-sourced our framework for further development and adaptation on GitHub (1).</t>
  </si>
  <si>
    <t>P-WOS-072</t>
  </si>
  <si>
    <t>Earth Action in Transition: Highlights From the 2025 ESANASA International Workshop on AI Foundation Models for EO {[}Space-Agencies]</t>
  </si>
  <si>
    <t>Longepe, Nicolas; Alemohammad, Hamed; Anghelea, Anca; Brunschwiler, Thomas; Camps-Valls, Gustau; Cavallaro, Gabriele; Chanussot, Jocelyn; Delgado, Jose Manuel; Demir, Begum; Dionelis, Nikolaos; Fraccaro, Paolo; Jungbluth, Anna; Kennedy, Robert E.; Marsocci, Valerio; Ramasubramanian, Muthukumaran; Ramos-Pollan, Raul; Roy, Sujit; Sumbul, Gencer; Tuia, Devis; Zhu, Xiao Xiang; Ramachandran, Rahul</t>
  </si>
  <si>
    <t>https://doi.org/10.1109/MGRS.2025.3592035</t>
  </si>
  <si>
    <t>Over 850 people joined the first International Workshop on AI Foundation Model (FM) for Earth Observation (EO) co-organized by ESA and NASA 5-7 May 2025. Hosted at ESRIN (ESA's Earth Observation Center, Italy), the event welcomed around 300 people on site, and an additional 550 online, with the promise that FMs can revolutionize EO and Earth sciences. The workshop marked a pivotal moment in aligning the EO and FM communities, fostering a shared commitment to developing open and trustworthy tools that support science discovery, operational applications, and prescriptive analytics. EO data is massive, complex and high dimensional requiring specific yet scalable AI architectures. The workshop emphasized the need for training and architecture enabling interpretability, explainability, and physical consistency. Coordination should be strengthened to minimize redundant development and to better leverage collective expertise. The focus has shifted from prototyping to real-world deployment, with FMs needing further design for integration into digital twins, dashboards, and edge platforms. Transparent benchmarking and user-driven evaluation are key to guiding model development and decision-making. In addition, parameter-efficient adaptation, neural compression, and embedding-based workflows offer promising paths for scaling EO analytics. While FMs show promise, their effectiveness remains context-dependent. The community debated whether to pursue universal models, specialized solutions, or mixtures of experts. The workshop envisioned the future of agentic AI in EO, with multi-agent system powered by EO FMs and vision-language models, that can dynamically reason and act on EO data. This shift from static pipelines to adaptive, smarter systems could redefine the future of EO. This paper summarizes key discussions and concludes with thought-provoking remarks.</t>
  </si>
  <si>
    <t>P-WOS-073</t>
  </si>
  <si>
    <t>Shah, Sayuj; Madisetti, Vijay K.</t>
  </si>
  <si>
    <t>https://doi.org/10.1109/ACCESS.2025.3547172</t>
  </si>
  <si>
    <t>P-WOS-074</t>
  </si>
  <si>
    <t>Towards Foundation-model-based Multiagent System to Accelerate AI for Social Impact</t>
  </si>
  <si>
    <t>Zhao, Yunfan; Boehmer, Niclas; Taneja, Aparna; Tambe, Milind</t>
  </si>
  <si>
    <t>AI for social impact (AI4SI) offers significant potential for addressing complex societal challenges in areas such as public health, agriculture, education, conservation, and public safety. However, existing AI4SI research is often labor-intensive and resource-demanding, limiting its accessibility and scalability; the standard approach is to design a (base-level) system tailored to a specific AI4SI problem. We propose the development of a novel meta-level multi-agent system designed to accelerate the development of such base-level systems, thereby reducing the computational cost and the burden on social impact domain experts and AI researchers. Leveraging advancements in foundation models and large language models, our proposed approach focuses on resource allocation problems providing help across the full AI4SI pipeline from problem formulation over solution design to impact evaluation. We highlight the ethical considerations and challenges inherent in deploying such systems and emphasize the importance of a human-in-the-loop approach to ensure the responsible and effective application of AI systems.</t>
  </si>
  <si>
    <t>P-WOS-075</t>
  </si>
  <si>
    <t>EditDuet: A Multi-Agent System for Video Non-Linear Editing</t>
  </si>
  <si>
    <t>Sandoval-Castaneda, Marcelo; Russell, Bryan; Sivic, Josef; Shakhnarovich, Gregory; Heilbron, Fabian Caba</t>
  </si>
  <si>
    <t>10.1145/3721238.3730761</t>
  </si>
  <si>
    <t>https://doi.org/10.1145/3721238.3730761</t>
  </si>
  <si>
    <t>Automated tools for video editing and assembly have applications ranging from filmmaking and advertisement to content creation for social media. Previous video editing work has mainly focused on either retrieval or user interfaces, leaving actual editing to the user. In contrast, we propose to automate the core task of video editing, formulating it as sequential decision making process. Ours is a multi-agent approach. We design an Editor agent and a Critic agent. The Editor takes as input a collection of video clips together with natural language instructions and uses tools commonly found in video editing software to produce an edited sequence. On the other hand, the Critic gives natural language feedback to the editor based on the produced sequence or renders it if it is satisfactory. We introduce a learning-based approach for enabling effective communication across specialized agents to address the language-driven video editing task. Finally, we explore an LLM-as-a-judge metric for evaluating the quality of video editing system and compare it with general human preference. We evaluate our system's output video sequences qualitatively and quantitatively through a user study and find that our system vastly outperforms existing approaches in terms of coverage, time constraint satisfaction, and human preference. Please see our companion supplemental video for qualitative results.</t>
  </si>
  <si>
    <t>P-WOS-076</t>
  </si>
  <si>
    <t>ELISAR: A Multi-Agent cybersecurity framework integrating retrieval-augmented generation for Blue, Red, and GRC operations</t>
  </si>
  <si>
    <t>Allani, Sabri; Bou-Chaaya, Karam; Rais, Helmi</t>
  </si>
  <si>
    <t>10.1007/s11280-025-01393-5</t>
  </si>
  <si>
    <t>https://doi.org/10.1007/s11280-025-01393-5</t>
  </si>
  <si>
    <t>A cybersecurity framework, ELISAR, has been developed to address the evolving challenges of modern cybersecurity operations, including governance, risk management, and threat mitigation. Unlike conventional AI-driven models, ELISAR is designed as a collaborative multi-agent system, in which specialized agents are deployed to operate autonomously while interacting within a modular and scalable architecture. Multiple domain-specific agents are orchestrated by the ELISAR Engine, with each agent being optimized for distinct cybersecurity tasks. For instance, ELISAR for GRC (Governance, Risk, and Compliance) is supported by a vector-based knowledge retrieval mechanism trained on regulatory standards such as NIS2, ISO 27001, and ISO 42001, enabling compliance-driven decision-making. For penetration testing, a RAG enhanced knowledge base is utilized, curated from security assessment datasets to support proactive vulnerability exploration. The defensive suite, Blue ELISAR, is composed of intelligent sub-agents, including ELISAR Honeypots for deception, ELISAR Next-Gen Firewall for real-time detection, and ELISAR Smart DLP for adaptive data protection. Through the integration of autonomous reasoning, contextual knowledge retrieval, and real-time adaptability, ELISAR is presented as an interpretable and domain-specialized cybersecurity assistant, in contrast to monolithic LLM-based solutions. This extended version of the manuscript includes additional system design details, formal modeling, and an expanded experimental evaluation across defensive, offensive, and compliance cybersecurity domains. Improvements in accuracy, context relevance, and result stability are observed when agentic AI is combined with retrieval-based methods, while latency remains comparable across tasks.</t>
  </si>
  <si>
    <t>P-WOS-077</t>
  </si>
  <si>
    <t>Unlocking the Potential of Decentralized LLM-based MAS: Privacy Preservation and Monetization in Collective Intelligence</t>
  </si>
  <si>
    <t>Yang, Yingxuan; Peng, Qiuying; Wang, Jun; Wen, Ying; Zhang, Weinan</t>
  </si>
  <si>
    <t>Recent advances in large language models (LLMs) have enabled the development of LLM agents-autonomous systems capable of perceiving their environment, reasoning about tasks, and taking actions using external tools. While existing LLM-based Multi-Agent Systems (LaMAS) have shown promising results, they are predominantly centralized, operating within specific tasks or scenarios. These centralized designs simplify coordination but are fundamentally constrained by the limited data and knowledge available within a single entity. As LLM agents see broader deployment, the complexity of tasks increasingly requires collaboration across multiple organizations and data domains. Since organizations cannot and will not fully share their proprietary data, the next frontier of artificial intelligence lies in collective intelligence through decentralized LLM-based Multi-Agent Systems (LaMAS), where LLM agents, each accessing proprietary knowledge and tools, collaborate to solve complex tasks. This paradigm is becoming not just possible but necessary with the growing adoption of LLM agents across diverse organizations. This paper explores the transformative potential of decentralized LaMAS. In decentralized settings, two key issues arise: (1) privacy-preserving mechanisms that enable meaningful collaboration while safeguarding proprietary data and knowledge, and (2) monetization and credit attribution mechanisms that incentivize continuous improvement of agent capabilities and ensure fair value distribution among participants. Our analysis reveals that addressing these challenges can unlock a new paradigm of artificial collective intelligence that overcomes the limitations. This work contributes to decentralized AI by proposing a practical framework for mechanism design that advances both technological innovation and economic sustainability in decentralized LLM Agent networks.</t>
  </si>
  <si>
    <t>P-WOS-078</t>
  </si>
  <si>
    <t>Autonomous Agents for Collaborative Task under Information Asymmetry</t>
  </si>
  <si>
    <t>Liu, Wei; Wang, Chenxi; Wang, Yifei; Xie, Zihao; Qiu, Rennai; Dang, Yufan; Du, Zhuoyun; Chen, Weize; Yang, Cheng; Qian, Chen</t>
  </si>
  <si>
    <t>Large Language ModelMulti-Agent Systems (LLM-MAS) have greatly progressed in solving complex tasks. It communicates among agents within the system to collaboratively solve tasks, under the premise of shared information. However, when agents' collaborations are leveraged to perform multi-person tasks, a new challenge arises due to information asymmetry, since each agent can only access the information of its human user. Previous MAS struggle to complete tasks under this condition. To address this, we propose a new MAS paradigm termed iAgents, which denotes Informative Multi-Agent Systems. In iAgents, the human social network is mirrored in the agent network, where agents proactively exchange human information necessary for task resolution, thereby overcoming information asymmetry. iAgents employs a novel agent reasoning mechanism, InfoNav, to navigate agents' communication towards effective information exchange. Together with InfoNav, iAgents organizes human information in a mixed memory to provide agents with accurate and comprehensive information for exchange. Additionally, we introduce InformativeBench, the first benchmark tailored for evaluating LLM agents' task-solving ability under information asymmetry. Experimental results show that iAgents can collaborate within a social network of 140 individuals and 588 relationships, autonomously communicate over 30 turns, and retrieve information from nearly 70,000 messages to complete tasks within 3 minutes.</t>
  </si>
  <si>
    <t>P-WOS-079</t>
  </si>
  <si>
    <t>Multi-Examiner: A Knowledge Graph-Driven System for Generating Comprehensive IT Questions with Higher-Order Thinking</t>
  </si>
  <si>
    <t>Wang, Yonggu; Yu, Zeyu; Wang, Zihan; Yu, Zengyi; Wang, Jue</t>
  </si>
  <si>
    <t>10.3390/app15105719</t>
  </si>
  <si>
    <t>https://doi.org/10.3390/app15105719</t>
  </si>
  <si>
    <t>The question generation system (QGS) for information technology (IT) education, designed to create, evaluate, and improve Multiple-Choice Questions (MCQs) using knowledge graphs (KGs) and large language models (LLMs), encounters three major needs: ensuring the generation of contextually relevant and accurate distractors, enhancing the diversity of generated questions, and balancing the higher-order thinking of questions to match various learning levels. To address these needs, we proposed a multi-agent system named Multi-Examiner, which integrates KGs, domain-specific search tools, and local knowledge bases, categorized according to Bloom's taxonomy, to enhance the contextual relevance, diversity, and higher-order thinking of automatically generated information technology MCQs. Our methodology employed a mixed-methods approach combining system development with experimental evaluation. We first constructed a specialized architecture combining knowledge graphs with LLMs, then implemented a comparative study generating questions across six knowledge points from K-12 Computer Science Standard. We designed a multidimensional evaluation rubric to assess the semantic coherence, answer correctness, question validity, distractor relevance, question diversity, and higher-order thinking, and conducted a statistical analysis of ratings provided by 30 high school IT teachers. Results showed statistically significant improvements (p &lt; 0.01) with Multi-Examiner outperforming GPT-4 by an average of 0.87 points (on a 5-point scale) for evaluation-level questions and 1.12 points for creation-level questions. The results demonstrated that: (i) overall, questions generated by the Multi-Examiner system outperformed those generated by GPT-4 across all dimensions and closely matched the quality of human-crafted questions in several dimensions; (ii) domain-specific search tools significantly enhanced the diversity of questions generated by Multi-Examiner; and (iii) GPT-4 generated better questions for knowledge points at the ``remembering{''} and ``understanding{''} levels, while Multi-Examiner significantly improved the higher-order thinking of questions for the ``evaluating{''} and ``creating{''} levels. This study contributes to the growing body of research on AI-supported educational assessment by demonstrating how specialized knowledge structures can enhance automated generation of higher-order thinking questions beyond what general-purpose language models can achieve.</t>
  </si>
  <si>
    <t>P-WOS-080</t>
  </si>
  <si>
    <t>Fostering collective intelligence in CPSS: an LLM-driven multi-agent cooperative tuning framework</t>
  </si>
  <si>
    <t>Chen, Rongjun; He, Chengbo</t>
  </si>
  <si>
    <t>10.3389/fphy.2025.1613499</t>
  </si>
  <si>
    <t>https://doi.org/10.3389/fphy.2025.1613499</t>
  </si>
  <si>
    <t>Cyber-Physical-Social Systems (CPSS) have emerged as a transformative paradigm in recent years, embracing computational processes, physical systems, and human social interactions within an integrated architectural framework. Advances in artificial intelligence technologies are targeted at addressing the complexity of CPSS design, especially in modeling human reactions in cyber-physical environment. Notably, LLM-based agents have shown significant potential, and numerous studies have leveraged multi-agent collaboration frameworks to solve reasoning tasks. Some approaches achieve multi-agent collaboration through a debate or communication setting. However, these approaches only use the existing capabilities of LLMs, fail to enhance their problem-solving performance. Other works incorporate the responses of other LLMs into their training trajectories to train individual LLMs in a reinforcement learning setting. We argue that effective collaboration should align not only in input information but also in consistent optimization objectives. Furthermore, in current cooperative frameworks, some LLMs tend to redundantly repeat others' viewpoints, contributing minimally to solve problems. In this paper, inspired by multi-agent reinforcement learning research, we propose MACT, a Multi-Agent Cooperative Tuning framework to joint train multiple LLMs, ensuring that the optimization of each agent aligns directly with the objective of the global task. We equip each agent with a critic network to facilitate individual optimization. Furthermore, to encourage different agents to complement each other and contribute to the overall task, we employ a mixing network that ensures the value of each agent is monotonically consistent with the total value. Experimental results reveal that our method significantly enhances cooperative problem-solving capabilities in the LLM multi-agent framework, which set strong evidence for the modeling of human reaction within CPSS.</t>
  </si>
  <si>
    <t>P-WOS-081</t>
  </si>
  <si>
    <t>Using Agentic LLM Architecture to Align Human and AI Decisions</t>
  </si>
  <si>
    <t>Pitkaranta, Tapio; Pitkaranta, Leena</t>
  </si>
  <si>
    <t>10.1007/978-3-032-08570-2\_10</t>
  </si>
  <si>
    <t>https://doi.org/10.1007/978-3-032-08570-2\_10</t>
  </si>
  <si>
    <t>Despite recent breakthroughs in AI, large organizations have not yet adopted large-scale methods to align algorithmic decisions across multiple stakeholders. This paper suggests an architecture that combines large language models with multi-agent systems to address this issue. We propose a system where business KPIs can be set and aligned with algorithms, ensuring that decision-making is directly connected to organizational objectives. Furthermore, we propose a system where company values can be digitalized and aligned with algorithms, embedding the organization's ethical standards into every decision-making process. Additionally, algorithm decision logic can be audited, providing transparency and accountability in the way decisions are made. Agentic Algorithmic Decision Alignment with RAG architecture (AADAR) represents an advancement in AI-augmented decision-making for corporate environments. AADAR enables natural language interaction between AI systems and users, facilitating adaptable decision-making tools for leaders, aligned with evolving business strategies and ethical standards. Experimental validation of AADAR within the banking sector demonstrates its effectiveness across diverse stakeholder groups, ranging from customers to business and compliance managers. This validation underscores AADAR's potential to transform stakeholder engagement and marks a significant leap in utilizing AI for ethically sustainable business management.</t>
  </si>
  <si>
    <t>P-WOS-082</t>
  </si>
  <si>
    <t>Agentic memory-augmented retrieval and evidence grounding for medical question-answering tasks</t>
  </si>
  <si>
    <t>Jia, Shuyue; Bit, Subhrangshu; Jasodanand, Varuna H.; Liu, Yi; Kolachalama, Vijaya B.</t>
  </si>
  <si>
    <t>10.1016/j.ijmedinf.2026.106339</t>
  </si>
  <si>
    <t>https://doi.org/10.1016/j.ijmedinf.2026.106339</t>
  </si>
  <si>
    <t>Objective: To evaluate whether a tool-using agent-based system built on large language models (LLMs) outper forms standalone LLMs on medical question-answering tasks. Methods: We developed a unified, open-source LLM-based agentic system that integrates document retrieval, reranking, evidence grounding, and diagnosis generation to support dynamic, multi-step medical reasoning. Our system features a lightweight retrieval-augmented generation pipeline for efficient evidence retrieval and rerank ing, coupled with a cache-and-prune memory bank, enabling efficient long-context inference beyond standard LLM limits. The system autonomously invokes specialized tools, eliminating the need for manual prompt engi neering or brittle multi-stage templates. We compared the agentic system against standalone language models on various medical question-answering benchmarks. Results: Evaluated on five well-known benchmarks, our system outperforms or closely matches state-of-theart proprietary and open-source models in multiple-choice and open-ended formats. Specifically, it achieved accuracies of 82.98\% on the United States Medical Licensing Examination (USMLE) Step 1 and 86.24\% on Step 2, surpassing GPT-4's 80.67\% and 81.67\%, respectively, while closely matching on Step 3 (88.52\% vs. 89.78\%). Conclusion: Our findings highlight the value of combining tool-augmented and evidence-grounded reasoning strategies to build reliable and scalable medical artificial intelligence systems.</t>
  </si>
  <si>
    <t>P-WOS-083</t>
  </si>
  <si>
    <t>Hmimou, Yasser; Tabaa, Mohamed; Khiat, Azeddine; Hidila, Zineb</t>
  </si>
  <si>
    <t>https://doi.org/10.1109/ACCESS.2025.3602681</t>
  </si>
  <si>
    <t>As cyber-attacks rapidly evolve across communication, infrastructure and data layers, traditional security solutions such as rule-based intrusion detection systems (IDS) or signature-based antivirus programs are effective at detecting known threats, but they often lack the contextual understanding and semantic interpretation necessary to detect complex or evolving attacks. For example, spear-phishing campaigns, advanced persistent threats (APTs), and multi-stage attacks often escape detection due to their subtle and context-dependent nature. This limitation creates a critical gap in detecting coordinated or subtle attack patterns that span multiple systems and domains. The need for semantic understanding, cross-domain visibility, and adaptive detection is increasingly urgent, particularly as threat actors employ polymorphic and AI-driven strategies that traditional systems cannot interpret or correlate effectively. This paper presents a modular multi-agent architecture that integrates established cybersecurity analysis tools with large language models (LLMs) to achieve intelligent, explicable and highly accurate detection of threats across diverse data types. Three specialized agents: 1) email verification, 2) log analysis, and 3) IP address scanning each operate independently with tailored detection pipelines that combine domain-specific tools and LLM-powered semantic analysis components to identify, characterize, and report threats specific to their domain. At the core of the system lies a contextual recommendation system that processes and cross-analyzes the outputs of all specialized agents to detect complex threat patterns such as multi-vector, time-based, or stealth attacks that would otherwise evade isolated detection mechanisms. The evaluation on benchmark datasets, including CIC-IDS 2017, SpamAssassin, and custom simulated network environments, demonstrates threat detection accuracy of 93.6\%, multi-agent correlation accuracy of 87\%, and false positive reduction of 41.3\% compared to traditional approaches. The use of LLMs for both structured explanations and chain-of-thought reporting further enhances analyst confidence and reduces triage time.</t>
  </si>
  <si>
    <t>P-WOS-084</t>
  </si>
  <si>
    <t>LLM-based multi-agent task planning for human-robot collaborative assembly balancing operator experience and efficiency</t>
  </si>
  <si>
    <t>Wang, Binbin; Zheng, Lianyu; Wang, Yiwei; Qi, Zhonghua</t>
  </si>
  <si>
    <t>10.1016/j.jmsy.2025.08.003</t>
  </si>
  <si>
    <t>https://doi.org/10.1016/j.jmsy.2025.08.003</t>
  </si>
  <si>
    <t>In human-robot collaborative assembly (HRCA), systematic task planning is required to enhance the coordination between human and robot, prevent execution conflicts, and improve assembly efficiency. However, traditional HRCA task planning methods are often tailored to specific tasks, lacking generality and requiring significant manual involvement. Meanwhile, overemphasis on efficiency neglects the work experience of operators. This paper proposes MATP, a multi-agent task planning method for HRCA based on large language models (LLMs), aimed at enhancing human-robot collaboration (HRC), avoiding execution conflicts, and balancing operator experience with production efficiency. The method creates multiple agents, each of which explicitly defines its distinct role and responsibilities such that they can collaboratively plan HRCA tasks. A standardized and automated planning process is developed where the input is the assembly task and the output is the generated optimal human-robot task allocation sequence. Specifically, MATP firstly decomposes assembly tasks into action-level subtasks. Then, it evaluates the states of both the operator and the robot from multiple perspectives including fatigue, postural comfort and human-robot trust. Task allocation is finally achieved through deep collaboration between the LLM and the genetic algorithm (GA). Validation in the electronic product assembly scenario demonstrate that MATP outperforms single-agent and traditional method in HRCA task planning. In addition, it effectively balances operator experience and assembly efficiency, significantly enhancing planning efficiency and dynamic adaptability.</t>
  </si>
  <si>
    <t>P-WOS-085</t>
  </si>
  <si>
    <t>Norm Violation Detection in Multi-Agent Systems Using Large Language Models A Pilot Study</t>
  </si>
  <si>
    <t>He, Shawn; Ranathunga, Surangika; Cranefield, Stephen; Savarimuthu, Bastin Tony Roy</t>
  </si>
  <si>
    <t>10.1007/978-3-031-82039-7\_10</t>
  </si>
  <si>
    <t>https://doi.org/10.1007/978-3-031-82039-7\_10</t>
  </si>
  <si>
    <t>Norms are an important component of the social fabric of society by prescribing expected behaviour. In Multi-Agent Systems (MAS), agents interacting within a society are equipped to possess social capabilities such as reasoning about norms and trust. Norms have long been of interest within the Normative Multi-Agent Systems community with researchers studying topics such as norm emergence, norm violation detection and sanctioning. However, these studies have some limitations: they are often limited to simple domains, norms have been represented using a variety of representations with no standard approach emerging, and the symbolic reasoning mechanisms generally used may suffer from a lack of extensibility and robustness. In contrast, Large Language Models (LLMs) offer opportunities to discover and reason about norms across a large range of social situations. This paper evaluates the capability of LLMs to detecting norm violations. Based on simulated data from 80 stories in a household context, with varying complexities, we investigated whether 10 norms are violated. For our evaluations we first obtained the ground truth from three human evaluators for each story. Then, the majority result was compared against the results from three well-known LLM models (Llama 2 7B, Mixtral 7B and ChatGPT-4). Our results show the promise of ChatGPT-4 for detecting norm violations, with Mixtral some distance behind. Also, we identify areas where these models perform poorly and discuss implications for future work.</t>
  </si>
  <si>
    <t>IEEE - Estudos Secundários</t>
  </si>
  <si>
    <t>Metadados organizados para rastreabilidade, auditoria e reprodução da RSL. Quantidade validada: 17 registros.</t>
  </si>
  <si>
    <t>S-IEEE-001</t>
  </si>
  <si>
    <t>Are Autonomous Agents the Inevitable Future of Decentralized Finance? A Review and Forward Outlook</t>
  </si>
  <si>
    <t>S. N. Gularso; R. Wiputra</t>
  </si>
  <si>
    <t>Secundário</t>
  </si>
  <si>
    <t>10.1109/IHMSC66529.2025.00038</t>
  </si>
  <si>
    <t>https://ieeexplore.ieee.org/stamp/stamp.jsp?arnumber=11153232</t>
  </si>
  <si>
    <t>Decentralized finance (DeFi) is expanding rapidly with the exponential increase in several adoption metrics. However, most user activity and decisions in DeFi still rely on short-term information, which exposes participants to volatility, manipulation, and security risk. Autonomous agents offer a data-driven approach to mitigate those frictions. This study conducts a systematic literature review (SLR) to map how LLM agents have been applied across the DeFi stack. We followed the PRISMA guidelines, searched five scholarly databases, and screened 3,590 records published between 2021 and 2025. Twenty-two peer-reviewed studies met the final inclusion criteria. Thematic synthesis reveals six functional clusters: (i) trading and automated market-making, (ii) portfolio construction and rebalancing, (iii) lending and credit-risk modeling, (iv) governance vote delegation, (v) liquidity-risk assurance and insurance, and (vi) smart-contract security audit. In terms of agent design, single-agent designs still dominate the implementation, but MAS is gaining traction in tasks requiring negotiation or distributed sensing. LLM-powered agents appear mainly in early proof-of-concept security tools.</t>
  </si>
  <si>
    <t>S-IEEE-002</t>
  </si>
  <si>
    <t>Agentic AI for Cloud Troubleshooting: A Review of Multi Agent System for Automated Cloud Support</t>
  </si>
  <si>
    <t>K. A. Patel; E. C. Pandey; I. Misra; D. Surve</t>
  </si>
  <si>
    <t>10.1109/ICICT64420.2025.11005005</t>
  </si>
  <si>
    <t>https://ieeexplore.ieee.org/stamp/stamp.jsp?arnumber=11005005</t>
  </si>
  <si>
    <t>One of the growing approaches in the field of artificial intelligence is known as agentic AI. This term describes autonomous systems that are meant to pursue complicated goals with minimum interaction from humans. Agentic artificial intelligence displays flexibility, advanced decision-making capabilities, and self-sufficiency, which enables it to work dynamically in contexts that are constantly changing. This is in contrast to traditional artificial intelligence, which is dependent on inflexible instructions and tight oversight. An important step forward in artificial intelligence and contemporary software systems is represented by the development of agentic systems. This development is being pushed by the desire for vertical intelligence that is adapted to a variety of different sectors. Through their capacity for learning, flexibility, and interaction with dynamic settings, these systems improve the results of corporate operations. Large Language Model (LLM) agents, who constitute the cognitive backbone of modern intelligent systems, are at the vanguard of this transformation. They are the agents that are revolutionizing intelligent systems. The aim of this research is to create domain-specific agents to address cloud and SaaS troubleshooting concerns. A particular agent will be created for a designated cloud platform. Manage Personally Identifiable Information to hide data and improve user privacy. This review aims to discuss Agentic AI, its core components, and applications across industries. It also surveys the literature, explores solutions provided by Agentic AI for challenges related to cloud platform failures, examines LLMs as agentic workflows, analyzes the accuracy issues of large language models (LLMs), and presents the proposed methodology along with associated challenges.</t>
  </si>
  <si>
    <t>S-IEEE-003</t>
  </si>
  <si>
    <t>Large Language Model Applications in Power Systems: A Comprehensive Review and Outlook</t>
  </si>
  <si>
    <t>X. Zhou; Y. Xu; J. Zhao; R. Zhang</t>
  </si>
  <si>
    <t>10.35833/MPCE.2025.000760</t>
  </si>
  <si>
    <t>https://ieeexplore.ieee.org/stamp/stamp.jsp?arnumber=11417457</t>
  </si>
  <si>
    <t>Modern power systems are evolving due to increasing penetration of renewable energy sources, deeper participation of the demand side, and widespread deployment of advanced information and digital technologies. As a result, system operation and control are becoming increasingly challenging. Large language models (LLMs), with their advanced capabilities in semantic understanding and knowledge reasoning, offer a promising tool to support the operation, control, analysis, and decision-making of power systems. This paper provides a comprehensive review of LLM applications in power systems, encompassing four representative application domains: power grid, power equipment, demand side, and electricity market and policy-making. Based on the functional roles and implementations of LLMs, four major application strategies are identified—model adaptation, capability enhancement, multimodality integration, and multi-agent coordination. In addition, the core functions, representative methods, and evolving trends of LLM applications are reviewed across different domains. Finally, key challenges in applying LLMs to power systems are discussed, and future research directions are outlined with regard to ensuring physical feasibility, enhancing data efficiency and privacy, and improving interpretability and rationality.</t>
  </si>
  <si>
    <t>RQ1; RQ2; RQ5; RQ6</t>
  </si>
  <si>
    <t>S-IEEE-004</t>
  </si>
  <si>
    <t>TrustNet: A Hybrid Machine Learning and LLM-Based Multi-Agent System for Scam Website Detection</t>
  </si>
  <si>
    <t>S. Abdelhamid; J. Bangura; K. Redlinger; G. Romsland</t>
  </si>
  <si>
    <t>10.1109/ICAIC67076.2026.11395765</t>
  </si>
  <si>
    <t>https://ieeexplore.ieee.org/stamp/stamp.jsp?arnumber=11395765</t>
  </si>
  <si>
    <t>The increase in the number of phishing and scam websites adds a continuous threat to online users. In this research, we present TrustNet, a hybrid AI platform that integrates traditional machine learning (ML) models with large language models (LLMs). We used different machine learning algorithms, and the Random Forest classifier achieved the highest performance, with an Accuracy of 0.9694, a Precision of 0.9749, a Recall of 0.9628, and an F1 of 0.9688. Further feature correlation and network centrality analyses showed the most influential attributes and their contribution to characterizing scam websites. Additionally, we built a multi-agent LLM system to identify and analyze linguistic and contextual indicators of scams in website content. The system contains four specialized agents (Market Researcher, Language Analyst, Threat Analyst, and Evaluator). The agents work together to identify urgency, vagueness, grammatical inconsistencies, and deceptive pressure tactics in web content. We tested the LLM-based agent system on our custom dataset of real and synthetic website text samples. The team of agents achieved high detection performance with an Accuracy of 0.9931, a Precision of 0.9867, a Recall of 1.0, and an F1 score of 0.9933. Both ML models and LLM-driven agents were integrated into a web-based application named TrustNet. TrustNet is a platform for detecting scams and phishing, and for explainable risk assessment. The system provides an interactive dashboard with risk-level visualization, linguistic explanation panels, and real-time recommendations to users. The proposed hybrid framework advances the state of the art in scam website detection by using both ML and LLM in a mixed approach that conducts both quantitative URL analysis and qualitative linguistic, contextual, and semantic knowledge extraction.</t>
  </si>
  <si>
    <t>S-IEEE-005</t>
  </si>
  <si>
    <t>S-IEEE-006</t>
  </si>
  <si>
    <t>Hydra-Reviewer: A Holistic Multi-Agent System for Automatic Code Review Comment Generation</t>
  </si>
  <si>
    <t>X. Ren; C. Dai; Q. Huang; Y. Wang; C. Liu; B. Jiang</t>
  </si>
  <si>
    <t>10.1109/TSE.2025.3621462</t>
  </si>
  <si>
    <t>https://ieeexplore.ieee.org/stamp/stamp.jsp?arnumber=11203269</t>
  </si>
  <si>
    <t>Review comment generation is a crucial task in code review, and significant progress has been made in automating. Previous research has generated review comments by fine-tuning pre-trained models or Large Language Models (LLMs). However, these studies have overlooked the necessity of conducting code reviews from multiple perspectives, resulting in the omission of potential issues in code changes. Additionally, the complexity of review comments often hinders the accurate quantitative evaluation of automated tools’ effectiveness. In this paper, we first conduct an empirical study to propose a comprehensive taxonomy of code review dimensions. We also identify three major limitations of existing automated code review (ACR) methods: lack of comprehensiveness, incorrectness, and vagueness. Building on the insights from our empirical study, we introduce Hydra-Reviewer, a collaborative multi-agent framework powered by large language models, designed to automatically generate high-quality code reviews. We utilize the CodeReview and CodeReviewNew benchmark datasets, along with a newly constructed review comment generation dataset. We compare Hydra-Reviewer with several baselines, including CodeReviewer, LLaMA-Reviewer, ChatGPT, Comprehensive-ChatGPT, and DeepSeek-V3. The experimental results show that Hydra-Reviewer achieves a BLEU score of 8.20, outperforming the state-of-the-art baseline, DeepSeek-V3, which scores 7.85. In qualitative evaluation, Hydra-Reviewer’s generated comments span an average of 7.8 review dimensions, addressing the limitations of existing ACR methods effectively. Additionally, Hydra-Reviewer demonstrates strong generalization capabilities on unseen dataset. We further validate the contributions of each component of Hydra-Reviewer through an ablation study and confirm the helpfulness and readability of the generated comments via a User Study. Finally, a cost analysis reveals that Hydra-Reviewer generates review comments at an average cost of 0.018 dollars and 62.63 seconds per code change.</t>
  </si>
  <si>
    <t>S-IEEE-007</t>
  </si>
  <si>
    <t>Can Large Language Models Be Trusted Paper Reviewers? A Feasibility Study</t>
  </si>
  <si>
    <t>C. Li; X. Hu; M. Xu; K. Li; Y. Zhang; X. Cheng</t>
  </si>
  <si>
    <t>10.1109/MASS66014.2025.00086</t>
  </si>
  <si>
    <t>https://ieeexplore.ieee.org/stamp/stamp.jsp?arnumber=11206164</t>
  </si>
  <si>
    <t>Academic paper review typically requires substantial time, expertise, and human resources. Large Language Models (LLMs) present a promising method for automating the review process due to their extensive training data, broad knowledge base, and relatively low usage cost. This work explores the feasibility of using LLMs for academic paper review by proposing an automated review system. The system integrates Retrieval Augmented Generation (RAG), the AutoGen multi-agent system, and Chain-of-Thought prompting to support tasks such as format checking, standardized evaluation, comment generation, and scoring. Experiments conducted on 290 submissions from the WASA 2024 conference using GPT-4o show that LLM-based review significantly reduces review time (average 2.48 hours) and cost (average $104.28 USD). However, the similarity between LLM-selected papers and actual accepted papers remains low (average 38.6%), indicating issues such as hallucination, lack of independent judgment, and retrieval preferences. Therefore, it is recommended to use LLMs as assistive tools to support human reviewers, rather than to replace them.</t>
  </si>
  <si>
    <t>S-IEEE-008</t>
  </si>
  <si>
    <t>LABMATE: Language Model Based Multi-Agent System to Accelerate Catalysis Experiments</t>
  </si>
  <si>
    <t>A. Acharya; A. K. Sharma; D. Parker; T. Vega; R. A. Ashraf; N. M. Isenberg; J. Strube; R. Rallo</t>
  </si>
  <si>
    <t>https://ieeexplore.ieee.org/stamp/stamp.jsp?arnumber=11358161</t>
  </si>
  <si>
    <t>As Large Language Models (LLMs) have become increasingly commonplace, they have been shown to be useful to domains far beyond just linguistic tasks. However, they are still unreliable to make decisions due to their potential to hallucinate, and unable to perform complex tasks like running simulations that are essential to a field like Material Science. To solve this, we introduce LABMATE (LAnguage model Based Multi-agent system to Accelerate caTalysis Experiments), a human-in-the-loop copilot framework that utilizes LLM agents to make catalysis research faster. LABMATE allows the human experts to submit simulation runs, track particle sizes, run data analysis, perform literature review, and generate potential hypothesis all in one framework, thereby expediting the research process. When evaluated on the Chemistry and Material Science segments of major benchmarks, LABMATE performs comparable to or better than most frontier LLMs, showing that in addition to accelerating the experimental process, our framework is also on par in domain knowledge compared to using a simple LLM. These results show that the system is able to significantly aid and improve the research process for human scientists. Furthermore, since the core architecture of the system is domain-agnostic, it can easily be adapted to other domains.</t>
  </si>
  <si>
    <t>S-IEEE-009</t>
  </si>
  <si>
    <t>S-IEEE-010</t>
  </si>
  <si>
    <t>Agentic AI Approaches for Indian Medicinal Plant Knowledge Systems</t>
  </si>
  <si>
    <t>P. Honna; S. Chand; N. D. Rangdal; A. Patravali; R. M S; R. S</t>
  </si>
  <si>
    <t>10.1109/CSITSS67709.2025.11295437</t>
  </si>
  <si>
    <t>https://ieeexplore.ieee.org/stamp/stamp.jsp?arnumber=11295437</t>
  </si>
  <si>
    <t>The fusion of Artificial Intelligence (AI) with traditional knowledge systems presents a promising direction for preserving and expanding access to India's rich medicinal plant heritage. Agentic AI, defined by autonomous reasoning, iterative planning, and adaptive problem solving, serves as a powerful tool for digitizing, analyzing, and sharing indigenous knowledge related to medicinal plants. This survey investigates the use of Natural Language Processing (NLP), Machine Learning (ML), Large Language Models (LLM), Retrieval Augmented Generation (RAG), and Question Answering (QA) techniques in the development of intelligent systems for Indian medicinal plant knowledge. Current frameworks and successful applications in healthcare and ethnobotany are reviewed, alongside the integration challenges posed by diverse data sources and traditional wisdom. Evaluation of a single RAG based agent demonstrated high effectiveness, achieving a precision of 88.48%, recall of 88.64%, and $F 1$ score of 88.56%. In comparison, a standalone LLM achieved a precision of 80.41%, recall of 85.56%, and F1 score of 82.90%. These results reflect the potential of agentic AI to bridge ancient practices and modern science, offering actionable and context aware insights to support sustainable healthcare and biodiversity management.</t>
  </si>
  <si>
    <t>S-IEEE-011</t>
  </si>
  <si>
    <t>A Survey on Agent Workflow – Status and Future</t>
  </si>
  <si>
    <t>C. Yu; Z. Cheng; H. Cui; Y. Gao; Z. Luo; Y. Wang; H. Zheng; Y. Zhao</t>
  </si>
  <si>
    <t>10.1109/ICAIBD64986.2025.11082076</t>
  </si>
  <si>
    <t>https://ieeexplore.ieee.org/stamp/stamp.jsp?arnumber=11082076</t>
  </si>
  <si>
    <t>In the age of large language models (LLMs), autonomous agents have emerged as a powerful paradigm for achieving general intelligence. These agents dynamically leverage tools, memory, and reasoning capabilities to accomplish user-defined goals. As agent systems grow in complexity, agent workflows—structured orchestration frameworks have become central to enabling scalable, controllable, and secure AI behaviors. This survey provides a comprehensive review of agent workflow systems, spanning academic frameworks and industrial implementations. We classify existing systems along two key dimensions: functional capabilities (e.g., planning, multi-agent collaboration, external API integration) and architectural features (e.g., agent roles, orchestration flows, specification languages). By comparing over 20 representative systems, we highlight common patterns, potential technical challenges, and emerging trends. We further address concerns related to workflow optimization strategies and security. Finally, we outline open problems such as standardization, and multi-modal integration—offering insights for future research at the intersection of agent design, workflow infrastructure, and safe automation.</t>
  </si>
  <si>
    <t>RQ1; RQ3; RQ4; RQ5; RQ6</t>
  </si>
  <si>
    <t>S-IEEE-012</t>
  </si>
  <si>
    <t>C. Sun; S. Huang; D. Pompili</t>
  </si>
  <si>
    <t>https://ieeexplore.ieee.org/stamp/stamp.jsp?arnumber=10970024</t>
  </si>
  <si>
    <t>S-IEEE-013</t>
  </si>
  <si>
    <t>S-IEEE-014</t>
  </si>
  <si>
    <t>ChatCAD: An MLLM-Guided Framework for Zero-shot CAD Drawing Restoration</t>
  </si>
  <si>
    <t>J. Tang; H. Xiao; X. Li; W. Wang; Z. Gong</t>
  </si>
  <si>
    <t>10.1109/ICASSP49660.2025.10890248</t>
  </si>
  <si>
    <t>https://ieeexplore.ieee.org/stamp/stamp.jsp?arnumber=10890248</t>
  </si>
  <si>
    <t>CAD drawing restoration is one of the most urgent needs in industrial manufacturing. The existing research focuses on the digitization of CAD drawings, However, there are actually many problems in digitized CAD drawings due to the upgrading of engineering drafting software, and it is difficult to repair reliably. In this paper, we use multi-modal large language models (MLLMs) to carry out digital CAD drawing restoration, and we use Retrieval-Augmented Generation (RAG) technology to inject engineering domain knowledge into MLLMs. In addition, a complete set of multiagent systems is constructed to realize restoration in accordance with the CAD drawing review process in the mechanical field. We collected 1,639 CAD drawings of bearing seats to evaluate our multi-agent system, verifying its reliability and robustness to various problematic drawings. Notably, ChatCAD also has a much simpler implementation than alternative methods trained on a huge dataset.</t>
  </si>
  <si>
    <t>S-IEEE-015</t>
  </si>
  <si>
    <t>S-IEEE-016</t>
  </si>
  <si>
    <t>S-IEEE-017</t>
  </si>
  <si>
    <t>Empowering Conversational Systems Through AI Agents Specialized in Reusable APIs Across Software Ecosystems</t>
  </si>
  <si>
    <t>R. R. Lima; I. E. C. de Brito; J. da Cunha Nascimento; E. N. Nogueira</t>
  </si>
  <si>
    <t>10.1109/ICTAI66417.2025.00191</t>
  </si>
  <si>
    <t>https://ieeexplore.ieee.org/stamp/stamp.jsp?arnumber=11272526</t>
  </si>
  <si>
    <t>Software reuse is a key strategy in modern engineering practices, yet it remains underexploited in enterprise environments due to technical barriers and limited accessibility to existing functionalities. This paper presents a novel architecture that integrates LLMs with AI agents to enhance conversational systems, enabling intelligent reuse of enterprise APIs through natural language commands. To test the feasibility of this solution, a multi-agent system with three roles was designed - LLM interpreter, recommender agent, and executor agent - deployed in a real-world setting. The solution evaluation combined automated accuracy tests, a TAM-based user satisfaction survey, and focus groups with developers. The bge-m3 embedding model achieved the highest top-5 recommendation accuracy. Users reported increased perceived usefulness and ease of use. Developers valued the modularity of the architecture, but expressed concerns about operational risks. The proposed architecture effectively connects user intent to actionable enterprise APIs, enhancing reuse, accessibility, and adaptability while pointing to future improvements in security, learning, and transparency.</t>
  </si>
  <si>
    <t>ACM - Estudos Secundários</t>
  </si>
  <si>
    <t>Metadados organizados para rastreabilidade, auditoria e reprodução da RSL. Quantidade validada: 75 registros.</t>
  </si>
  <si>
    <t>S-ACM-001</t>
  </si>
  <si>
    <t>S-ACM-002</t>
  </si>
  <si>
    <t>S-ACM-003</t>
  </si>
  <si>
    <t>S-ACM-004</t>
  </si>
  <si>
    <t>S-ACM-005</t>
  </si>
  <si>
    <t>S-ACM-006</t>
  </si>
  <si>
    <t>S-ACM-007</t>
  </si>
  <si>
    <t>S-ACM-008</t>
  </si>
  <si>
    <t>S-ACM-009</t>
  </si>
  <si>
    <t>S-ACM-010</t>
  </si>
  <si>
    <t>S-ACM-011</t>
  </si>
  <si>
    <t>S-ACM-012</t>
  </si>
  <si>
    <t>S-ACM-013</t>
  </si>
  <si>
    <t>S-ACM-014</t>
  </si>
  <si>
    <t>S-ACM-015</t>
  </si>
  <si>
    <t>S-ACM-016</t>
  </si>
  <si>
    <t>S-ACM-017</t>
  </si>
  <si>
    <t>S-ACM-018</t>
  </si>
  <si>
    <t>S-ACM-019</t>
  </si>
  <si>
    <t>S-ACM-020</t>
  </si>
  <si>
    <t>S-ACM-021</t>
  </si>
  <si>
    <t>S-ACM-022</t>
  </si>
  <si>
    <t>S-ACM-023</t>
  </si>
  <si>
    <t>S-ACM-024</t>
  </si>
  <si>
    <t>S-ACM-025</t>
  </si>
  <si>
    <t>S-ACM-026</t>
  </si>
  <si>
    <t>S-ACM-027</t>
  </si>
  <si>
    <t>S-ACM-028</t>
  </si>
  <si>
    <t>S-ACM-029</t>
  </si>
  <si>
    <t>S-ACM-030</t>
  </si>
  <si>
    <t>S-ACM-031</t>
  </si>
  <si>
    <t>S-ACM-032</t>
  </si>
  <si>
    <t>S-ACM-033</t>
  </si>
  <si>
    <t>S-ACM-034</t>
  </si>
  <si>
    <t>S-ACM-035</t>
  </si>
  <si>
    <t>S-ACM-036</t>
  </si>
  <si>
    <t>S-ACM-037</t>
  </si>
  <si>
    <t>S-ACM-038</t>
  </si>
  <si>
    <t>S-ACM-039</t>
  </si>
  <si>
    <t>S-ACM-040</t>
  </si>
  <si>
    <t>S-ACM-041</t>
  </si>
  <si>
    <t>S-ACM-042</t>
  </si>
  <si>
    <t>S-ACM-043</t>
  </si>
  <si>
    <t>S-ACM-044</t>
  </si>
  <si>
    <t>S-ACM-045</t>
  </si>
  <si>
    <t>S-ACM-046</t>
  </si>
  <si>
    <t>S-ACM-047</t>
  </si>
  <si>
    <t>S-ACM-048</t>
  </si>
  <si>
    <t>S-ACM-049</t>
  </si>
  <si>
    <t>S-ACM-050</t>
  </si>
  <si>
    <t>S-ACM-051</t>
  </si>
  <si>
    <t>S-ACM-052</t>
  </si>
  <si>
    <t>S-ACM-053</t>
  </si>
  <si>
    <t>S-ACM-054</t>
  </si>
  <si>
    <t>S-ACM-055</t>
  </si>
  <si>
    <t>S-ACM-056</t>
  </si>
  <si>
    <t>S-ACM-057</t>
  </si>
  <si>
    <t>S-ACM-058</t>
  </si>
  <si>
    <t>S-ACM-059</t>
  </si>
  <si>
    <t>S-ACM-060</t>
  </si>
  <si>
    <t>S-ACM-061</t>
  </si>
  <si>
    <t>S-ACM-062</t>
  </si>
  <si>
    <t>S-ACM-063</t>
  </si>
  <si>
    <t>S-ACM-064</t>
  </si>
  <si>
    <t>S-ACM-065</t>
  </si>
  <si>
    <t>S-ACM-066</t>
  </si>
  <si>
    <t>S-ACM-067</t>
  </si>
  <si>
    <t>S-ACM-068</t>
  </si>
  <si>
    <t>S-ACM-069</t>
  </si>
  <si>
    <t>S-ACM-070</t>
  </si>
  <si>
    <t>S-ACM-071</t>
  </si>
  <si>
    <t>S-ACM-072</t>
  </si>
  <si>
    <t>S-ACM-073</t>
  </si>
  <si>
    <t>S-ACM-074</t>
  </si>
  <si>
    <t>S-ACM-075</t>
  </si>
  <si>
    <t>Web of Science - Secundários</t>
  </si>
  <si>
    <t>Metadados organizados para rastreabilidade, auditoria e reprodução da RSL. Quantidade validada: 19 registros.</t>
  </si>
  <si>
    <t>S-WOS-001</t>
  </si>
  <si>
    <t>AutoReview: An LLM-based Multi-Agent System for Security Issue-Oriented Code Review</t>
  </si>
  <si>
    <t>Chen, Yujia</t>
  </si>
  <si>
    <t>10.1145/3696630.3728618</t>
  </si>
  <si>
    <t>https://doi.org/10.1145/3696630.3728618</t>
  </si>
  <si>
    <t>Software vulnerabilities can lead to severe security issues such as data breaches, financial losses, and service disruptions, making security issue-oriented code review a crucial part of the development process. Traditional approaches struggle with analyzing complex code and providing explanations, while large language models (LLMs) show promise in code review but do not focus on security-related issues. To address these limitations, we propose AutoReview, an LLM-based multi-agent system for security code review. It integrates three agents: (1) Issue Detector identifying potential vulnerabilities using knowledge-level retrieval-augmented generation, (2) Issue Locator pinpoints the vulnerability positions through graph-based code slicing, and (3) Issue Repairer generating context-aware fixes via iterative verification. Evaluated on ReposVul with three code LLMs, AutoReview greatly demonstrates its effectiveness in security code reviews, improving F1-score for detection by 18.72\%, precision for location by 27.75\%, and BLEU for repair by 14.82\% over baselines.</t>
  </si>
  <si>
    <t>S-WOS-002</t>
  </si>
  <si>
    <t>A Survey on Trustworthy LLM Agents: Threats and Countermeasures</t>
  </si>
  <si>
    <t>Yu, Miao; Meng, Fanci; Zhou, Xinyun; Wang, Shilong; Mao, Junyuan; Pan, Linsey; Chen, Tianlong; Wang, Kun; Li, Xinfeng; Zhang, Yongfeng; An, Bo; Wen, Qingsong</t>
  </si>
  <si>
    <t>10.1145/3711896.3736561</t>
  </si>
  <si>
    <t>https://doi.org/10.1145/3711896.3736561</t>
  </si>
  <si>
    <t>With the rapid evolution of Large Language Models (LLMs), LLMbased agents and Multi-agent Systems (MAS) have significantly expanded the capabilities of LLM ecosystems. This evolution stems from empowering LLMs with additional modules such as memory, tools, environment, and even other agents. However, this advancement has also introduced more complex issues of trustworthiness, which previous research focusing solely on LLMs could not cover. In this survey, we propose the TrustAgent framework, a comprehensive study on the trustworthiness of agents, characterized by modular taxonomy, multi-dimensional connotations, and technical implementation. By thoroughly investigating and summarizing newly emerged attacks, defenses, and evaluation methods for agents and MAS, we extend the concept of Trustworthy LLM to the emerging paradigm of Trustworthy Agent. In TrustAgent, we begin by deconstructing and introducing various components of the Agent and MAS. Then, we categorize their trustworthiness into intrinsic (brain, memory, and tool) and extrinsic (user, agent, and environment) aspects. Subsequently, we delineate the multifaceted meanings of trustworthiness and elaborate on the implementation techniques of existing research related to these internal and external modules. Finally, we present our insights and outlook on this domain, aiming to provide guidance for future endeavors. For easy reference, we categorize all the studies mentioned in this survey according to our taxonomy, available at: https://github.com/Ymm-cll/TrustAgent.</t>
  </si>
  <si>
    <t>RQ4; RQ6</t>
  </si>
  <si>
    <t>S-WOS-003</t>
  </si>
  <si>
    <t>S-WOS-004</t>
  </si>
  <si>
    <t>Generation of Scientific Literature Surveys Based on Large Language Models (LLM) and Multi-Agent Systems (MAS)</t>
  </si>
  <si>
    <t>Qi, Ruihua; Li, Weilong; Lyu, Haobo</t>
  </si>
  <si>
    <t>10.1007/978-981-97-9443-0\_14</t>
  </si>
  <si>
    <t>https://doi.org/10.1007/978-981-97-9443-0\_14</t>
  </si>
  <si>
    <t>With the rapid increase in the number and speed of scientific publications, researchers face significant time pressure when conducting literature reviews. This paper presents an automatic literature review generation method leveraging large language models (LLMs) and multi-agent systems (MAS). By designing multiple agent roles, including reference parsing, analysis, generation, and integration agents-this method fully utilizes the natural language processing capabilities of LLMs and the collaborative strengths of MAS to produce high-quality literature reviews. In the NLPCC2024 evaluation task, our method excelled in multiple automatic evaluation metrics (such as SoftHeadingRecall and ROUGE) and manual evaluations, showcasing its great potential for practical applications.</t>
  </si>
  <si>
    <t>S-WOS-005</t>
  </si>
  <si>
    <t>Retrieval Augmented Multi-agent Recommender</t>
  </si>
  <si>
    <t>Ao, Xiao; Han, Shuxi; Li, Yeming; Ma, Heli; Zhang, Pengfei; Zou, Jie</t>
  </si>
  <si>
    <t>10.1145/3701716.3719231</t>
  </si>
  <si>
    <t>https://doi.org/10.1145/3701716.3719231</t>
  </si>
  <si>
    <t>Online review platforms are vital for shaping consumer choices and experiences in today's digital world. The AgentSociety Challenge focuses on advancing personalized recommendations with large language model (LLM) agents, aiming to enhance web interactions and user satisfaction. This paper presents the first-place solution for the AgentSociety Challenge Recommendation Track, by the team of the University of Electronic Science and Technology of China. We propose a recommendation framework based on large language models, integrating retrieval-augmented feature extraction and a data-driven multi-agent strategy. The core advantages of our approach lie in two key aspects. First, to optimize the representation of both products and users, we design a retrieval-augmented feature extraction mechanism that combines structured product attributes with unstructured user reviews, capturing both the objective characteristics of products and users' subjective preferences. Second, we introduce a data-driven multi-agent system that adaptively adjusts processing strategies based on the heterogeneous characteristics of different datasets, thereby effectively uncovering valuable latent information. Our method is built upon the Qwen-72B-Instruct model, with further optimizations in recommendation accuracy and system stability. Experimental results on three widely used datasets-Amazon, Goodreads, and Yelp-demonstrate significant improvements in recommendation performance. Ultimately, our solution achieved an overall hit rate score of 0.4744, representing a 101\% improvement over the baseline, showcasing its outstanding effectiveness in personalized recommendation tasks.</t>
  </si>
  <si>
    <t>S-WOS-006</t>
  </si>
  <si>
    <t>S-WOS-007</t>
  </si>
  <si>
    <t>An LLM-based multi-agent system to assist early-stage product design and evaluation</t>
  </si>
  <si>
    <t>Chen, Pei; Cai, Yichen; Zhou, Zihong; Yao, Jiayi; Li, Jiayang; You, Weitao; Sun, Lingyun</t>
  </si>
  <si>
    <t>10.1080/09544828.2026.2616583</t>
  </si>
  <si>
    <t>https://doi.org/10.1080/09544828.2026.2616583</t>
  </si>
  <si>
    <t>Conceptual design decisions critically influence product performance, cost, and sustainability, yet integrating rigorous feasibility evaluation early in this creative phase remains challenging. While generative AI accelerates concept generation, current methods often lack mechanisms to assess the feasibility of proposed designs. To bridge this gap, this paper presents DesignAgent, an LLM-based multi-agent system that assists early-stage product design and evaluation. The system features specialised agents that collaborate to interpret requirements, produce 3D prototypes, and automatically evaluate feasibility through integrated finite element analysis. This agent-driven framework facilitates an automated, iterative design loop where simulation feedback informs concept refinement. We evaluated the system through a case study involving 104 simulated design sessions for three types of UAV landing gear. A comprehensive assessment involving human expert review, AI (LLM) evaluation, and quantitative analysis demonstrates the high proficiency of the system. The system achieved over 90\% accuracy in core tasks, effectively utilised FEA feedback with an 84.3\% meaningful refinement rate, and also showed excellent adherence to engineering constraints and effective parameter refinement towards improved design quality. A user study further showed that DesignAgent achieved higher design accuracy and solution quality, lower workload, and better human-AI collaboration than the baseline systems.</t>
  </si>
  <si>
    <t>S-WOS-008</t>
  </si>
  <si>
    <t>Acharya, Anurag; Sharma, Anshu Kiran; Parker, Derek; Vega, Timothy; Ashraf, Rizwan A.; Isenberg, Natalie M.; Strube, Jan; Rallo, Robert</t>
  </si>
  <si>
    <t>10.1145/3731599.3767399</t>
  </si>
  <si>
    <t>https://doi.org/10.1145/3731599.3767399</t>
  </si>
  <si>
    <t>S-WOS-009</t>
  </si>
  <si>
    <t>Tang, Jing; Xiao, Hongru; Li, Xiang; Wang, Wei; Gong, Zeyu</t>
  </si>
  <si>
    <t>https://doi.org/10.1109/ICASSP49660.2025.10890248</t>
  </si>
  <si>
    <t>S-WOS-010</t>
  </si>
  <si>
    <t>Application of Artificial Intelligence Generated Content in Medical Examinations</t>
  </si>
  <si>
    <t>Li, Rui; Wu, Tong</t>
  </si>
  <si>
    <t>10.2147/AMEP.S492895</t>
  </si>
  <si>
    <t>https://doi.org/10.2147/AMEP.S492895</t>
  </si>
  <si>
    <t>As the rapid development of large language model, artificial intelligence generated content (AIGC) presents novel opportunities for constructing medical examination questions. However, it is unclear about the way of effectively utilizing AIGC for designing medical questions. AIGC is characterized by its rapid response capabilities and high efficiency, as well as good performance in mimicking clinical realities. In this study, we revealed the limitations inherent in paper-based examinations, and provided a streamlined instruction for generating questions using AIGC, with a particular focus on multiple-choice questions, case study questions, and video questions. Manual review remains necessary to ensure the accuracy and quality of the generated content. Future development will be benefited from technologies like retrieval augmented generation, multi-agent system, and video generation technology. As AIGC continues to evolve, it is anticipated to bring transformative changes to medical examinations, enhancing the quality of examination preparation, and contributing to the effective cultivation of medical students.</t>
  </si>
  <si>
    <t>S-WOS-011</t>
  </si>
  <si>
    <t>Redefining Transportation Simulation: Multi-agent Models Powered by LLMs</t>
  </si>
  <si>
    <t>Calderon, Christian; Marti, Pasqual; Jordan, Jaume; Palanca, Javier; Julian, Vicente</t>
  </si>
  <si>
    <t>10.1007/978-3-032-05925-3\_6</t>
  </si>
  <si>
    <t>https://doi.org/10.1007/978-3-032-05925-3\_6</t>
  </si>
  <si>
    <t>Urban mobility systems are increasingly strained by dynamic societal demands, environmental pressures, and infrastructural limitations. Traditional simulation approachesrooted in fixed rules and simplified behavioural assumptionsstruggle to capture the complexity and variability of human travel decisions. This paper presents a novel framework that integrates Large Language Models (LLMs) into multi-agent mobility simulations to enable context-aware, adaptive, and intelligent decision-making in urban transport planning. Our approach leverages real-world survey data to generate diverse traveller profiles, embedding demographic, behavioural, and contextual factors into SimFleet, a cutting-edge mobility simulation platform. Unlike traditional rule-based models, our framework allows agents to learn, adapt, and refine their travel choices through iterative interactions with simulated urban environments. The framework, built on the SimFleet platform, is evaluated using diverse user profiles and varying levels of contextual information. Results show that LLM-driven agents can achieve high decision quality, behavioural consistency, and realistic adaptation over time. This work highlights the potential of combining LLM reasoning with multi-agent systems to support more intelligent, interpretable, and flexible simulation tools for urban mobility.</t>
  </si>
  <si>
    <t>S-WOS-012</t>
  </si>
  <si>
    <t>Ramirez-Rueda, Rolando; Benitez-Guerrero, Edgard; Mezura-Godoy, Carmen; Barcenas, Everardo</t>
  </si>
  <si>
    <t>https://doi.org/10.1109/CONISOFT63288.2024.00013</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</si>
  <si>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</si>
  <si>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S-WOS-013</t>
  </si>
  <si>
    <t>PaperEval: A universal, quantitative, and explainable paper evaluation method powered by a multi-agent system</t>
  </si>
  <si>
    <t>Huang, Shengzhi; Wang, Qicong; Lu, Wei; Liu, Lingyu; Xu, Zhenzhen; Huang, Yong</t>
  </si>
  <si>
    <t>10.1016/j.ipm.2025.104225</t>
  </si>
  <si>
    <t>https://doi.org/10.1016/j.ipm.2025.104225</t>
  </si>
  <si>
    <t>The immediate and efficient evaluation of scientific papers is crucial for advancing scientific progress. However, traditional peer review faces numerous challenges, including reviewer bias, limited expertise, and an overwhelming volume of publications. Recent advancements in large language models (LLMs) suggest their potential as promising evaluators, capable of approximating human cognition and understanding both ordinary and scientific language. In this study, we propose a novel AI-empowered paper evaluation method, PaperEval (PE), which utilizes a multi-agent system powered by LLMs to design evaluation criteria, assess paper quality along different dimensions, and generate explainable scores. We also introduce two variants of PE, Multi-round PaperEval (MPE) and Self-correcting PaperEval (SPE), which produce comparable scores and iteratively refine the evaluation criteria, respectively. To test our methods, we conducted a comprehensive analysis of three curated datasets, encompassing about 66,000 target papers of varying quality across the fields of mathematics, physics, chemistry, and medicine. The results show that our methods can effectively discern between high- and low-quality papers based on scores derived in four dimensions: Question, Method, Result, and Conclusion. Moreover, the results highlight the evaluation's stability over time, the impact of comparative papers, the advantages of the multi-round evaluation strategy, and the varying correlation between AI ratings and scientific impact across different disciplines. Our method can seamlessly integrate into the existing scientific evaluation system, offering valuable insights for the development of AI-driven scientific evaluation.</t>
  </si>
  <si>
    <t>S-WOS-014</t>
  </si>
  <si>
    <t>Large Language Models and the Analyses of Adherence to Reporting Guidelines in Systematic Reviews and Overviews of Reviews (PRISMA 2020 and PRIOR)</t>
  </si>
  <si>
    <t>Forero, Diego A.; Abreu, Sandra E.; Tovar, Blanca E.; Oermann, Marilyn H.</t>
  </si>
  <si>
    <t>10.1007/s10916-025-02212-0</t>
  </si>
  <si>
    <t>https://doi.org/10.1007/s10916-025-02212-0</t>
  </si>
  <si>
    <t>In the context of Evidence-Based Practice (EBP), Systematic Reviews (SRs), Meta-Analyses (MAs) and overview of reviews have become cornerstones for the synthesis of research findings. The Preferred Reporting Items for Systematic Reviews and Meta-Analyses (PRISMA) 2020 and Preferred Reporting Items for Overviews of Reviews (PRIOR) statements have become major reporting guidelines for SRs/MAs and for overviews of reviews, respectively. In recent years, advances in Generative Artificial Intelligence (genAI) have been proposed as a potential major paradigm shift in scientific research. The main aim of this research was to examine the performance of four LLMs for the analysis of adherence to PRISMA 2020 and PRIOR, in a sample of 20 SRs and 20 overviews of reviews. We tested the free versions of four commonly used LLMs: ChatGPT (GPT-4o), DeepSeek (V3), Gemini (2.0 Flash) and Qwen (2.5 Max). Adherence to PRISMA 2020 and PRIOR was compared with scores defined previously by human experts, using several statistical tests. In our results, all the four LLMs showed a low performance for the analysis of adherence to PRISMA 2020, overestimating the percentage of adherence (from 23 to 30\%). For PRIOR, the LLMs presented lower differences in the estimation of adherence (from 6 to 14\%) and ChatGPT showed a performance similar to human experts. This is the first report of the performance of four commonly used LLMs for the analysis of adherence to PRISMA 2020 and PRIOR. Future studies of adherence to other reporting guidelines will be helpful in health sciences research.</t>
  </si>
  <si>
    <t>S-WOS-015</t>
  </si>
  <si>
    <t>Ren, Xiaoxue; Dai, Chaoqun; Huang, Qiao; Wang, Ye; Liu, Chao; Jiang, Bo</t>
  </si>
  <si>
    <t>https://doi.org/10.1109/TSE.2025.3621462</t>
  </si>
  <si>
    <t>Review comment generation is a crucial task in code review, and significant progress has been made in automating. Previous research has generated review comments by fine-tuning pre-trained models or Large Language Models (LLMs). However, these studies have overlooked the necessity of conducting code reviews from multiple perspectives, resulting in the omission of potential issues in code changes. Additionally, the complexity of review comments often hinders the accurate quantitative evaluation of automated tools' effectiveness. In this paper, we first conduct an empirical study to propose a comprehensive taxonomy of code review dimensions. We also identify three major limitations of existing automated code review (ACR) methods: lack of comprehensiveness, incorrectness, and vagueness. Building on the insights from our empirical study, we introduce Hydra-Reviewer, a collaborative multi-agent framework powered by large language models, designed to automatically generate high-quality code reviews. We utilize the CodeReview and CodeReviewNew benchmark datasets, along with a newly constructed review comment generation dataset. We compare Hydra-Reviewer with several baselines, including CodeReviewer, LLaMA-Reviewer, ChatGPT, Comprehensive-ChatGPT, and DeepSeek-V3. The experimental results show that Hydra-Reviewer achieves a BLEU score of 8.20, outperforming the state-of-the-art baseline, DeepSeek-V3, which scores 7.85. In qualitative evaluation, Hydra-Reviewer's generated comments span an average of 7.8 review dimensions, addressing the limitations of existing ACR methods effectively. Additionally, Hydra-Reviewer demonstrates strong generalization capabilities on unseen dataset. We further validate the contributions of each component of Hydra-Reviewer through an ablation study and confirm the helpfulness and readability of the generated comments via a User Study. Finally, a cost analysis reveals that Hydra-Reviewer generates review comments at an average cost of 0.018 dollars and 62.63 seconds per code change.</t>
  </si>
  <si>
    <t>S-WOS-016</t>
  </si>
  <si>
    <t>Multi-agent Decision Support for Sepsis: Balancing Precision and Hallucination Risks in Biomedical Engineering</t>
  </si>
  <si>
    <t>Ciubara, Roman; Odajiu, Otilia; Munteanu, Viorel; Arnaut, Oleg; Belii, Adrian; Iapascurta, Victor</t>
  </si>
  <si>
    <t>10.1007/978-3-032-06497-4\_63</t>
  </si>
  <si>
    <t>https://doi.org/10.1007/978-3-032-06497-4\_63</t>
  </si>
  <si>
    <t>Sepsis remains a critical challenge in intensive care, demanding rapid and accurate decision-making to optimize patient outcomes. This study evaluates a multi-agent system designed to support sepsis management by integrating three specialized agents-sepsis management, antibiotic recommendation, and guidelines compliance-using retrieval-augmented generation (RAG) to leverage current literature and guidelines. Initially tested on a single pneumonia-related sepsis case from the MIMIC IV database, the system has now been assessed across 10 diverse cases, including eight from MIMIC IV (e.g., necrotizing fasciitis, genitourinary sepsis) and 2 from specialized literature. The evaluation, conducted with Palmyra-Med 70B and compared against GPT-3.5 Turbo and GPT-4o Mini, focuses on recommendation accuracy, guideline adherence, and the prevalence of hallucinations-unsupported or excessive outputs that undermine reliability. Initial results concerning the pneumonia-related sepsis case indicate acceptable recommendations per expert reviews (Cohen's Kappa = 0.622, p = 0.003), with strengths in early antibiotic suggestions and monitoring strategies. However, with further testing, hallucinations, such as erroneous clinical assertions, were detected across cases, with groundedness scores varying. Programmatic evaluations (e.g., TruLens) and human expert assessments highlight the need for improved context relevance and response grounding. This system exemplifies the potential of multi-agent architectures in clinical decision support for biomedical engineering yet underscores the challenge of ensuring reliability in real-time applications. Addressing hallucinations through refined RAG databases and agent definitions is critical for clinical adoption. This work invites further validation across broader datasets and integration into ICU workflows, offering a pathway to enhance sepsis care through advanced informatics.</t>
  </si>
  <si>
    <t>S-WOS-017</t>
  </si>
  <si>
    <t>S-WOS-018</t>
  </si>
  <si>
    <t>Towards language-based retrieval of complex geospatial data: A case study on UK National geographic database</t>
  </si>
  <si>
    <t>Xie, Hailun; Biswas, Arjun; Coupland, Steve; Dickens, Ben; Morley, Jeremy; Williams, Hywel</t>
  </si>
  <si>
    <t>10.1016/j.jag.2026.105145</t>
  </si>
  <si>
    <t>https://doi.org/10.1016/j.jag.2026.105145</t>
  </si>
  <si>
    <t>Retrieving granular information from large-scale geospatial databases is challenging and can require significant domain expertise, owing to complex data taxonomies and hierarchical data structures related to geometry and topology. In this research, a multi-agent system is developed that uses large language models (LLMs) for geospatial information retrieval based on natural language queries. The proposed solution employs LLMs within three agents that decompose data retrieval into sub-tasks: human instruction comprehension; data collection identification; and feature category screening. The three agents collaborate in a sequential workflow to accumulate knowledge and identify a pathway to the correct information within a hierarchical data structure. A data retrieval module subsequently interprets the search extent and retrieves data through API calls to the underlying databases. The proposed approach is evaluated in a case study with a large and complex geospatial database, the National Geographic Database operated by Ordnance Survey in the UK. Evaluation was based on a total of 83 sample queries, i.e. 40 human queries collected from volunteers, 40 synthetic queries generated by LLM, and 3 queries selected from a benchmark database. The proposed system answered majority of the queries successfully, namely 22 out of the 31 valid human queries, 29 out of 37 effective synthetic queries, and all 3 queries from the benchmark dataset. This demonstrates good potential for flexible data retrieval, locating a variety of geographical features from different data collections in response to natural language questions about tennis courts, public car parks, and restaurants, etc. The multi-agent solution was also evaluated using OpenStreetMap and the results demonstrate the transferability of the proposed method in handling different data taxonomies and structures. Our findings also highlight several research challenges around the ``AI readiness{''} of documentation, complex geospatial data taxonomies, ambiguity in human language, and complex spatial reasoning. Overall, our study addresses two major research gaps: (1) the use of unstructured natural language to accurately retrieve geospatial information; and (2) the use of LLMs to navigate multiple heterogeneous datasets in a hierarchical data taxonomy.</t>
  </si>
  <si>
    <t>S-WOS-019</t>
  </si>
  <si>
    <t>Identification of Microsatellite (SSR) and RAPD Markers Linked to Rice Blast Disease Resistance gene in Rice (Oryza sativa L.)</t>
  </si>
  <si>
    <t>Selvaraj, Immanuel C.; Nagarajan, Pothiraj; Thiyagarajan, K.; Bharathi, M.; Rabindran, R.</t>
  </si>
  <si>
    <t>A mapping population comprising 220 F-2 individuals was developed by raising the selfed F-1 seed of a single hybrid plant, White Ponni x Moroberekan. Two hundred and twenty two F-3 families were phenotyped for blast resistance under artificial condition. Fifty random amplified polymorphic (RAPD) primers were used to identify parental polymorphism. Twelve RAPD markers which showed clear polymorphism were scored in the F-2 mapping population. Out of 12 markers, 11 loci (91.97 \%) fitted into the expected segregation ratio of 3:1 based on chi(2) - test at 0.05\% probability value. Four hundred microsatellite primer pairs were used in the parental survey, Out of which 52 simple sequence repeats (SSR) primers were polymorphic. Out of 52 marker loci, 44 marker loci (84.61\%) fitted into the expected Mendelian segregation ratio of 1:2:1 based on chi(2) - test at 0.05\% probability value. The multipoint analysis resulted in the construction of preliminary genetic linkage map with 40 loci. One way analysis of variance (ANOVA) was performed to identify the marker phenotype association which resulted in the identification of 23 SSR markers putatively associated for the six traits studied. Three SSR markers (RM 5757, RM 451 and RM 492 from chromosomes four and two) were linked for leaf blast resistance, six markers for days to flowering, nine markers for pigmentation trait, two markers for plant height, four markers for panicle length and seven markers linked for grain yield per plant. Out of 12 RAPD markers studied, 7 were found to be linked to three traits viz., leaf blast resistance (OPBB 5(258), OPBB 5(194), OPAL 16(940) and OPBD 12(680)), five markers for glume purple tip (GPT) and one marker for grain yield per plant based on single marker analysis.</t>
  </si>
  <si>
    <t>Base Unificada de Apoio</t>
  </si>
  <si>
    <t>Aba auxiliar para cálculos de consolidação, estatísticas e controle de deduplicação.</t>
  </si>
  <si>
    <t>ID</t>
  </si>
  <si>
    <t>Base</t>
  </si>
  <si>
    <t>Tipo</t>
  </si>
  <si>
    <t>Chave_Deduplicacao</t>
  </si>
  <si>
    <t>Registro_Unico</t>
  </si>
  <si>
    <t>Relevância</t>
  </si>
  <si>
    <t>Folha</t>
  </si>
  <si>
    <t>RQs</t>
  </si>
  <si>
    <t>doi::10.1109/acsos-c58168.2023.00048</t>
  </si>
  <si>
    <t>doi::10.1109/ispa67752.2025.00198</t>
  </si>
  <si>
    <t>doi::10.1109/hpcc67675.2025.00184</t>
  </si>
  <si>
    <t>doi::10.1109/iccworkshops67674.2025.11162489</t>
  </si>
  <si>
    <t>doi::10.1109/icmlc.2003.1264511</t>
  </si>
  <si>
    <t>doi::10.1109/aiccsa66935.2025.11315267</t>
  </si>
  <si>
    <t>doi::10.1109/etfa65518.2025.11205539</t>
  </si>
  <si>
    <t>doi::10.1109/tccn.2025.3528892</t>
  </si>
  <si>
    <t>doi::10.1109/icdcsw63273.2025.00083</t>
  </si>
  <si>
    <t>doi::10.1109/cic58953.2023.00021</t>
  </si>
  <si>
    <t>doi::10.1109/sitis.2016.67</t>
  </si>
  <si>
    <t>doi::10.1109/bigdata62323.2024.10825608</t>
  </si>
  <si>
    <t>doi::10.1109/apsec66846.2025.00077</t>
  </si>
  <si>
    <t>doi::10.1109/icmcs.2011.5945725</t>
  </si>
  <si>
    <t>doi::10.1109/icdsca67083.2025.11350185</t>
  </si>
  <si>
    <t>doi::10.1109/icta.2015.7426924</t>
  </si>
  <si>
    <t>doi::10.1109/cibcb66090.2025.11177136</t>
  </si>
  <si>
    <t>doi::10.1109/mwc.016.2300600</t>
  </si>
  <si>
    <t>doi::10.1109/ccwc67433.2026.11393746</t>
  </si>
  <si>
    <t>doi::10.1109/iti.2006.1708509</t>
  </si>
  <si>
    <t>doi::10.1109/bigdata66926.2025.11401974</t>
  </si>
  <si>
    <t>doi::10.1109/etfa65518.2025.11205636</t>
  </si>
  <si>
    <t>doi::10.1109/ictc66702.2025.11388949</t>
  </si>
  <si>
    <t>doi::10.1109/sci68648.2025.11333875</t>
  </si>
  <si>
    <t>doi::10.1109/iske60036.2023.10481339</t>
  </si>
  <si>
    <t>doi::10.1109/cyberscitech68397.2025.00101</t>
  </si>
  <si>
    <t>doi::10.1109/tvt.2025.3627237</t>
  </si>
  <si>
    <t>doi::10.1109/smc54092.2024.10831565</t>
  </si>
  <si>
    <t>titulo::interoperability of mas dsmls via horizontal model transformations</t>
  </si>
  <si>
    <t>doi::10.1109/ccnis69465.2025.00088</t>
  </si>
  <si>
    <t>doi::10.1109/access.2025.3613340</t>
  </si>
  <si>
    <t>doi::10.1109/trustcom63139.2024.00128</t>
  </si>
  <si>
    <t>doi::10.1109/ojcoms.2025.3600706</t>
  </si>
  <si>
    <t>doi::10.1109/etfa65518.2025.11205685</t>
  </si>
  <si>
    <t>doi::10.1109/qce65121.2025.20549</t>
  </si>
  <si>
    <t>doi::10.1109/indin.2018.8472069</t>
  </si>
  <si>
    <t>doi::10.1109/vis60296.2025.00037</t>
  </si>
  <si>
    <t>doi::10.1109/sita67914.2025.11273371</t>
  </si>
  <si>
    <t>doi::10.1109/mcom.001.2500148</t>
  </si>
  <si>
    <t>doi::10.1109/ispds67367.2025.11390999</t>
  </si>
  <si>
    <t>doi::10.1109/conisoft63288.2024.00013</t>
  </si>
  <si>
    <t>doi::10.1109/isspit.2008.4775665</t>
  </si>
  <si>
    <t>doi::10.1109/hpcc67675.2025.00214</t>
  </si>
  <si>
    <t>doi::10.1109/cyberc66434.2025.00017</t>
  </si>
  <si>
    <t>doi::10.1109/icbaie66852.2025.11326640</t>
  </si>
  <si>
    <t>doi::10.1109/wi-iat.2010.217</t>
  </si>
  <si>
    <t>doi::10.1109/icpea67476.2025.11349299</t>
  </si>
  <si>
    <t>doi::10.1109/iscsic67494.2025.11352002</t>
  </si>
  <si>
    <t>doi::10.1109/ispce-asia64773.2024.10756271</t>
  </si>
  <si>
    <t>doi::10.1109/tse.2026.3656819</t>
  </si>
  <si>
    <t>doi::10.1109/iccca66364.2025.11325214</t>
  </si>
  <si>
    <t>doi::10.1109/cain66642.2025.00039</t>
  </si>
  <si>
    <t>doi::10.1109/hpcc67675.2025.00221</t>
  </si>
  <si>
    <t>doi::10.1109/iavvc63304.2024.10786452</t>
  </si>
  <si>
    <t>doi::10.1109/ssrr68451.2025.11391314</t>
  </si>
  <si>
    <t>doi::10.1109/csicc65765.2025.10967406</t>
  </si>
  <si>
    <t>doi::10.1109/access.2025.3602681</t>
  </si>
  <si>
    <t>doi::10.1109/mnet.2026.3651036</t>
  </si>
  <si>
    <t>doi::10.1109/tce.2025.3608003</t>
  </si>
  <si>
    <t>doi::10.1109/aiim64537.2024.10934217</t>
  </si>
  <si>
    <t>doi::10.1109/icidca66325.2025.11280370</t>
  </si>
  <si>
    <t>doi::10.1109/cain66642.2025.00031</t>
  </si>
  <si>
    <t>doi::10.1109/trustcom66490.2025.00226</t>
  </si>
  <si>
    <t>doi::10.1109/ocit66168.2025.11400090</t>
  </si>
  <si>
    <t>doi::10.1109/iceca66444.2025.11383462</t>
  </si>
  <si>
    <t>doi::10.1109/irc63610.2024.00046</t>
  </si>
  <si>
    <t>doi::10.1109/itc-egypt66095.2025.11186558</t>
  </si>
  <si>
    <t>doi::10.1109/tsmcc.2009.2037133</t>
  </si>
  <si>
    <t>doi::10.1109/iti.2002.1024675</t>
  </si>
  <si>
    <t>doi::10.1109/o-cocosda64382.2024.10800588</t>
  </si>
  <si>
    <t>doi::10.1109/tse.2025.3632508</t>
  </si>
  <si>
    <t>doi::10.1109/bigdata66926.2025.11401633</t>
  </si>
  <si>
    <t>doi::10.1109/bigdata66926.2025.11402080</t>
  </si>
  <si>
    <t>doi::10.1109/iecon58223.2025.11221518</t>
  </si>
  <si>
    <t>doi::10.1109/clei.2017.8226470</t>
  </si>
  <si>
    <t>doi::10.1109/bigdata62323.2024.10826038</t>
  </si>
  <si>
    <t>doi::10.1109/tse.2026.3667895</t>
  </si>
  <si>
    <t>doi::10.1109/qsic.2008.15</t>
  </si>
  <si>
    <t>doi::10.1109/sysose.2018.8428776</t>
  </si>
  <si>
    <t>doi::10.1109/icisc65841.2025.11188152</t>
  </si>
  <si>
    <t>doi::10.1109/mnet.2025.3605319</t>
  </si>
  <si>
    <t>doi::10.1109/iwisa.2010.5473584</t>
  </si>
  <si>
    <t>doi::10.1109/wetice.2007.4407121</t>
  </si>
  <si>
    <t>doi::10.1109/tnse.2025.3618771</t>
  </si>
  <si>
    <t>doi::10.1109/compsac.2015.97</t>
  </si>
  <si>
    <t>doi::10.1109/icsc65596.2025.11140357</t>
  </si>
  <si>
    <t>doi::10.1109/educon62633.2025.11016653</t>
  </si>
  <si>
    <t>doi::10.1109/cec60901.2024.10612015</t>
  </si>
  <si>
    <t>doi::10.1109/icdcsw63273.2025.00109</t>
  </si>
  <si>
    <t>doi::10.1109/e-cargo65996.2025.11139294</t>
  </si>
  <si>
    <t>doi::10.23919/softcom62040.2024.10721684</t>
  </si>
  <si>
    <t>doi::10.1109/bigdata66926.2025.11401665</t>
  </si>
  <si>
    <t>doi::10.1109/wiiat.2008.131</t>
  </si>
  <si>
    <t>doi::10.1109/jestie.2021.3117121</t>
  </si>
  <si>
    <t>doi::10.1109/mipro65660.2025.11131790</t>
  </si>
  <si>
    <t>doi::10.1109/kse68178.2025.11309460</t>
  </si>
  <si>
    <t>doi::10.1109/icdsaai65575.2025.11011581</t>
  </si>
  <si>
    <t>doi::10.1109/icra55743.2025.11127486</t>
  </si>
  <si>
    <t>doi::10.1109/esem64174.2025.00050</t>
  </si>
  <si>
    <t>doi::10.1109/bigdata.2018.8622622</t>
  </si>
  <si>
    <t>doi::10.1109/uemcon.2017.8249021</t>
  </si>
  <si>
    <t>doi::10.23919/picmet64035.2024.10653018</t>
  </si>
  <si>
    <t>doi::10.1109/conecct65861.2025.11306519</t>
  </si>
  <si>
    <t>doi::10.1109/nnice64954.2025.11064421</t>
  </si>
  <si>
    <t>doi::10.1109/oceans58557.2025.11104390</t>
  </si>
  <si>
    <t>doi::10.1109/access.2025.3547172</t>
  </si>
  <si>
    <t>doi::10.1109/quatic.2010.39</t>
  </si>
  <si>
    <t>doi::10.1109/wimob66857.2025.11257534</t>
  </si>
  <si>
    <t>doi::10.1109/iccece61355.2025.10940937</t>
  </si>
  <si>
    <t>doi::10.1109/acsos-c66519.2025.00041</t>
  </si>
  <si>
    <t>doi::10.1109/aimlsystems67835.2025.11331196</t>
  </si>
  <si>
    <t>doi::10.1109/mgrs.2025.3592035</t>
  </si>
  <si>
    <t>doi::10.1109/aibthings66987.2025.11296175</t>
  </si>
  <si>
    <t>doi::10.1109/milcom64451.2025.11310651</t>
  </si>
  <si>
    <t>doi::10.1109/iccitechn.2012.6509744</t>
  </si>
  <si>
    <t>doi::10.1109/metroxraine66377.2025.11340415</t>
  </si>
  <si>
    <t>doi::10.1109/access.2022.3147144</t>
  </si>
  <si>
    <t>doi::10.1109/bigdata66926.2025.11402104</t>
  </si>
  <si>
    <t>doi::10.1109/aihcir67580.2025.11404766</t>
  </si>
  <si>
    <t>doi::10.1109/wi-iat.2011.205</t>
  </si>
  <si>
    <t>doi::10.1145/3796507</t>
  </si>
  <si>
    <t>doi::10.1145/3748302</t>
  </si>
  <si>
    <t>doi::10.1145/3789261</t>
  </si>
  <si>
    <t>doi::10.1145/3736165</t>
  </si>
  <si>
    <t>doi::10.1145/3711032</t>
  </si>
  <si>
    <t>doi::10.1145/3785010</t>
  </si>
  <si>
    <t>doi::10.1145/3770581</t>
  </si>
  <si>
    <t>doi::10.1145/3748634</t>
  </si>
  <si>
    <t>doi::10.1145/3728933</t>
  </si>
  <si>
    <t>doi::10.1145/3769676</t>
  </si>
  <si>
    <t>doi::10.1145/3736167</t>
  </si>
  <si>
    <t>doi::10.1145/3800953</t>
  </si>
  <si>
    <t>doi::10.1145/3735632</t>
  </si>
  <si>
    <t>doi::10.1145/3773080</t>
  </si>
  <si>
    <t>doi::10.1145/3712003</t>
  </si>
  <si>
    <t>doi::10.14778/3712221.3712222</t>
  </si>
  <si>
    <t>doi::10.1145/3757551</t>
  </si>
  <si>
    <t>doi::10.1145/3686803</t>
  </si>
  <si>
    <t>doi::10.1145/3743724</t>
  </si>
  <si>
    <t>doi::10.1145/3749455</t>
  </si>
  <si>
    <t>doi::10.1145/3715752</t>
  </si>
  <si>
    <t>doi::10.14778/3750601.3750611</t>
  </si>
  <si>
    <t>doi::10.1145/3737286</t>
  </si>
  <si>
    <t>doi::10.1145/3785472</t>
  </si>
  <si>
    <t>doi::10.1145/3766895</t>
  </si>
  <si>
    <t>doi::10.1145/3772077</t>
  </si>
  <si>
    <t>doi::10.1145/3769781</t>
  </si>
  <si>
    <t>doi::10.1145/3764113</t>
  </si>
  <si>
    <t>doi::10.1145/3744746</t>
  </si>
  <si>
    <t>doi::10.1145/3797042</t>
  </si>
  <si>
    <t>doi::10.1145/3719351</t>
  </si>
  <si>
    <t>doi::10.1613/jair.1.18675</t>
  </si>
  <si>
    <t>doi::10.1145/3716872</t>
  </si>
  <si>
    <t>doi::10.1145/3787499</t>
  </si>
  <si>
    <t>doi::10.1145/3749542</t>
  </si>
  <si>
    <t>doi::10.1145/3757418</t>
  </si>
  <si>
    <t>doi::10.1145/3725529</t>
  </si>
  <si>
    <t>doi::10.1145/3728939</t>
  </si>
  <si>
    <t>doi::10.1145/3748730</t>
  </si>
  <si>
    <t>doi::10.1145/3788879</t>
  </si>
  <si>
    <t>doi::10.1145/3760389</t>
  </si>
  <si>
    <t>doi::10.1145/3625821</t>
  </si>
  <si>
    <t>doi::10.1145/3716320</t>
  </si>
  <si>
    <t>doi::10.1145/3785354</t>
  </si>
  <si>
    <t>doi::10.1145/3712008</t>
  </si>
  <si>
    <t>doi::10.1145/3378414</t>
  </si>
  <si>
    <t>doi::10.1145/3716132</t>
  </si>
  <si>
    <t>doi::10.14778/3750601.3760519</t>
  </si>
  <si>
    <t>doi::10.1145/3757633</t>
  </si>
  <si>
    <t>doi::10.1145/3748304</t>
  </si>
  <si>
    <t>doi::10.1145/3746636</t>
  </si>
  <si>
    <t>doi::10.1613/jair.1.17175</t>
  </si>
  <si>
    <t>doi::10.1109/taslp.2022.3199655</t>
  </si>
  <si>
    <t>doi::10.1145/3715003</t>
  </si>
  <si>
    <t>doi::10.1145/3712004</t>
  </si>
  <si>
    <t>doi::10.1145/3625094</t>
  </si>
  <si>
    <t>doi::10.1145/3716628</t>
  </si>
  <si>
    <t>doi::10.1145/3702987</t>
  </si>
  <si>
    <t>doi::10.1145/3765286</t>
  </si>
  <si>
    <t>doi::10.1145/3677378</t>
  </si>
  <si>
    <t>doi::10.1145/3779223</t>
  </si>
  <si>
    <t>doi::10.1145/3664522</t>
  </si>
  <si>
    <t>doi::10.1613/jair.1.17654</t>
  </si>
  <si>
    <t>doi::10.1613/jair.1.19798</t>
  </si>
  <si>
    <t>doi::10.1145/1293731.1293735</t>
  </si>
  <si>
    <t>doi::10.1145/3728940</t>
  </si>
  <si>
    <t>doi::10.1145/3716629</t>
  </si>
  <si>
    <t>doi::10.1145/3446343</t>
  </si>
  <si>
    <t>doi::10.1145/3770664</t>
  </si>
  <si>
    <t>doi::10.1145/2505984</t>
  </si>
  <si>
    <t>doi::10.1145/3769301</t>
  </si>
  <si>
    <t>doi::10.1145/3687485</t>
  </si>
  <si>
    <t>doi::10.1145/3672394</t>
  </si>
  <si>
    <t>doi::10.1145/3712190</t>
  </si>
  <si>
    <t>doi::10.1145/3696663</t>
  </si>
  <si>
    <t>doi::10.1145/3663569</t>
  </si>
  <si>
    <t>doi::10.1145/3711912</t>
  </si>
  <si>
    <t>doi::10.1109/taslp.2024.3453598</t>
  </si>
  <si>
    <t>doi::10.1145/3789665</t>
  </si>
  <si>
    <t>doi::10.1145/3523179</t>
  </si>
  <si>
    <t>doi::10.1145/2535505</t>
  </si>
  <si>
    <t>doi::10.1145/3687056</t>
  </si>
  <si>
    <t>doi::10.1145/3610107</t>
  </si>
  <si>
    <t>doi::10.1145/3728635</t>
  </si>
  <si>
    <t>doi::10.1145/2897371</t>
  </si>
  <si>
    <t>doi::10.1145/3716850</t>
  </si>
  <si>
    <t>doi::10.1145/3640312</t>
  </si>
  <si>
    <t>doi::10.1145/3660780</t>
  </si>
  <si>
    <t>doi::10.1145/3593240</t>
  </si>
  <si>
    <t>doi::10.1145/3615355</t>
  </si>
  <si>
    <t>doi::10.1145/3634706</t>
  </si>
  <si>
    <t>doi::10.1145/3355390</t>
  </si>
  <si>
    <t>titulo::on the testability of bdi agent systems</t>
  </si>
  <si>
    <t>doi::10.14778/3494124.3494139</t>
  </si>
  <si>
    <t>doi::10.1145/2850422</t>
  </si>
  <si>
    <t>doi::10.1145/3175659</t>
  </si>
  <si>
    <t>doi::10.1007/s00778-023-00809-w</t>
  </si>
  <si>
    <t>doi::10.1145/3372823</t>
  </si>
  <si>
    <t>doi::10.1613/jair.1.14388</t>
  </si>
  <si>
    <t>doi::10.1145/2789210</t>
  </si>
  <si>
    <t>doi::10.1145/2629685</t>
  </si>
  <si>
    <t>doi::10.1145/2629436</t>
  </si>
  <si>
    <t>doi::10.1145/3687306</t>
  </si>
  <si>
    <t>doi::10.1145/3763131</t>
  </si>
  <si>
    <t>doi::10.1145/2542182.2542201</t>
  </si>
  <si>
    <t>doi::10.1007/s00778-019-00584-7</t>
  </si>
  <si>
    <t>doi::10.1145/2637478</t>
  </si>
  <si>
    <t>doi::10.1145/2483669.2483671</t>
  </si>
  <si>
    <t>doi::10.1145/2699667</t>
  </si>
  <si>
    <t>titulo::advantage of deep neural networks for estimating functions with singularity on hypersurfaces</t>
  </si>
  <si>
    <t>doi::10.1145/3341726</t>
  </si>
  <si>
    <t>doi::10.1145/505282.505285</t>
  </si>
  <si>
    <t>doi::10.1145/3091108</t>
  </si>
  <si>
    <t>doi::10.1145/3032963</t>
  </si>
  <si>
    <t>doi::10.1145/2975608</t>
  </si>
  <si>
    <t>doi::10.1145/2523057.2523059</t>
  </si>
  <si>
    <t>titulo::automatic differentiation in machine learning a survey</t>
  </si>
  <si>
    <t>titulo::generalized p o ya urn for time varying pitman yor processes</t>
  </si>
  <si>
    <t>doi::10.1145/169683.174152</t>
  </si>
  <si>
    <t>doi::10.1145/158439.158908</t>
  </si>
  <si>
    <t>doi::10.3390/app15137579</t>
  </si>
  <si>
    <t>doi::10.1016/j.simpa.2025.100742</t>
  </si>
  <si>
    <t>doi::10.1145/3698587.3701359</t>
  </si>
  <si>
    <t>doi::10.1007/978-3-032-05727-3\_26</t>
  </si>
  <si>
    <t>doi::10.3390/app152413190</t>
  </si>
  <si>
    <t>doi::10.1145/3699682.3727569</t>
  </si>
  <si>
    <t>doi::10.1016/j.eswa.2025.127717</t>
  </si>
  <si>
    <t>doi::10.3390/app16042157</t>
  </si>
  <si>
    <t>doi::10.3390/app152111619</t>
  </si>
  <si>
    <t>doi::10.1007/s11265-025-01978-3</t>
  </si>
  <si>
    <t>doi::10.1145/3701716.3715225</t>
  </si>
  <si>
    <t>doi::10.3390/biomimetics10090605</t>
  </si>
  <si>
    <t>doi::10.1145/3706598.3714135</t>
  </si>
  <si>
    <t>doi::10.1145/3674399.3674445</t>
  </si>
  <si>
    <t>doi::10.1080/00207543.2025.2604311</t>
  </si>
  <si>
    <t>doi::10.1016/j.enbuild.2025.116516</t>
  </si>
  <si>
    <t>doi::10.1016/j.addlet.2026.100355</t>
  </si>
  <si>
    <t>doi::10.1016/j.rcim.2026.103245</t>
  </si>
  <si>
    <t>doi::10.1007/s40747-025-01882-0</t>
  </si>
  <si>
    <t>doi::10.1007/978-3-031-73058-0\_17</t>
  </si>
  <si>
    <t>doi::10.1016/j.oceaneng.2025.123622</t>
  </si>
  <si>
    <t>doi::10.3390/app15020968</t>
  </si>
  <si>
    <t>doi::10.1007/s10489-025-06430-4</t>
  </si>
  <si>
    <t>doi::10.1145/3711896.3737249</t>
  </si>
  <si>
    <t>titulo::malade orchestration of llm powered agents with retrieval augmented generation for pharmacovigilance</t>
  </si>
  <si>
    <t>doi::10.1016/j.autcon.2025.106563</t>
  </si>
  <si>
    <t>doi::10.1109/lra.2025.3562371</t>
  </si>
  <si>
    <t>doi::10.1002/mgea.70045</t>
  </si>
  <si>
    <t>titulo::hierarchical frameworks for scaling up multi agent coordination</t>
  </si>
  <si>
    <t>doi::10.1007/s10586-024-04654-6</t>
  </si>
  <si>
    <t>doi::10.1016/j.aei.2025.103375</t>
  </si>
  <si>
    <t>titulo::master a multi agent system with llm specialized mcts</t>
  </si>
  <si>
    <t>doi::10.1038/s41551-025-01455-z</t>
  </si>
  <si>
    <t>titulo::llm based agent society investigation collaboration and confrontation in avalon gameplay</t>
  </si>
  <si>
    <t>doi::10.1007/978-3-031-98420-4\_15</t>
  </si>
  <si>
    <t>doi::10.3390/app15169096</t>
  </si>
  <si>
    <t>doi::10.1145/3731443.3771356</t>
  </si>
  <si>
    <t>doi::10.1016/j.compedu.2025.105448</t>
  </si>
  <si>
    <t>doi::10.1145/3746027.3755423</t>
  </si>
  <si>
    <t>titulo::macm utilizing a multi agent system for condition mining in solving complex mathematical problems</t>
  </si>
  <si>
    <t>doi::10.1142/s1469026825500154</t>
  </si>
  <si>
    <t>doi::10.1007/978-3-031-98420-4\_5</t>
  </si>
  <si>
    <t>doi::10.1145/3706599.3719888</t>
  </si>
  <si>
    <t>doi::10.1007/978-3-031-93733-0\_25</t>
  </si>
  <si>
    <t>titulo::fincon a synthesized llm multi agent system with conceptual verbal reinforcement for enhanced financial decision making</t>
  </si>
  <si>
    <t>doi::10.1007/978-3-032-00686-8\_37</t>
  </si>
  <si>
    <t>doi::10.1038/s41586-025-10097-9</t>
  </si>
  <si>
    <t>doi::10.1016/j.eswa.2025.130571</t>
  </si>
  <si>
    <t>doi::10.1145/3708635.3708655</t>
  </si>
  <si>
    <t>doi::10.1145/3746027.3761999</t>
  </si>
  <si>
    <t>titulo::towards foundation model based multiagent system to accelerate ai for social impact</t>
  </si>
  <si>
    <t>doi::10.1145/3721238.3730761</t>
  </si>
  <si>
    <t>doi::10.1007/s11280-025-01393-5</t>
  </si>
  <si>
    <t>titulo::unlocking the potential of decentralized llm based mas privacy preservation and monetization in collective intelligence</t>
  </si>
  <si>
    <t>titulo::autonomous agents for collaborative task under information asymmetry</t>
  </si>
  <si>
    <t>doi::10.3390/app15105719</t>
  </si>
  <si>
    <t>doi::10.3389/fphy.2025.1613499</t>
  </si>
  <si>
    <t>doi::10.1007/978-3-032-08570-2\_10</t>
  </si>
  <si>
    <t>doi::10.1016/j.ijmedinf.2026.106339</t>
  </si>
  <si>
    <t>doi::10.1016/j.jmsy.2025.08.003</t>
  </si>
  <si>
    <t>doi::10.1007/978-3-031-82039-7\_10</t>
  </si>
  <si>
    <t>doi::10.1109/ihmsc66529.2025.00038</t>
  </si>
  <si>
    <t>doi::10.1109/icict64420.2025.11005005</t>
  </si>
  <si>
    <t>doi::10.35833/mpce.2025.000760</t>
  </si>
  <si>
    <t>doi::10.1109/icaic67076.2026.11395765</t>
  </si>
  <si>
    <t>doi::10.1109/tse.2025.3621462</t>
  </si>
  <si>
    <t>doi::10.1109/mass66014.2025.00086</t>
  </si>
  <si>
    <t>titulo::labmate language model based multi agent system to accelerate catalysis experiments</t>
  </si>
  <si>
    <t>doi::10.1109/csitss67709.2025.11295437</t>
  </si>
  <si>
    <t>doi::10.1109/icaibd64986.2025.11082076</t>
  </si>
  <si>
    <t>doi::10.1109/icassp49660.2025.10890248</t>
  </si>
  <si>
    <t>doi::10.1109/ictai66417.2025.00191</t>
  </si>
  <si>
    <t>doi::10.1145/3696630.3728618</t>
  </si>
  <si>
    <t>doi::10.1145/3711896.3736561</t>
  </si>
  <si>
    <t>doi::10.1007/978-981-97-9443-0\_14</t>
  </si>
  <si>
    <t>doi::10.1145/3701716.3719231</t>
  </si>
  <si>
    <t>doi::10.1080/09544828.2026.2616583</t>
  </si>
  <si>
    <t>doi::10.1145/3731599.3767399</t>
  </si>
  <si>
    <t>doi::10.2147/amep.s492895</t>
  </si>
  <si>
    <t>doi::10.1007/978-3-032-05925-3\_6</t>
  </si>
  <si>
    <t>doi::10.1016/j.ipm.2025.104225</t>
  </si>
  <si>
    <t>doi::10.1007/s10916-025-02212-0</t>
  </si>
  <si>
    <t>doi::10.1007/978-3-032-06497-4\_63</t>
  </si>
  <si>
    <t>doi::10.1016/j.jag.2026.105145</t>
  </si>
  <si>
    <t>titulo::identification of microsatellite ssr and rapd markers linked to rice blast disease resistance gene in rice oryza sativa l</t>
  </si>
  <si>
    <t>Consolidação Geral da RSL</t>
  </si>
  <si>
    <t>Síntese quantitativa do corpus por base, categoria de busca e etapas principais de seleção.</t>
  </si>
  <si>
    <t>Estudos Primários</t>
  </si>
  <si>
    <t>Estudos Secundários</t>
  </si>
  <si>
    <t>Total</t>
  </si>
  <si>
    <t>Total geral</t>
  </si>
  <si>
    <t>Indicadores gerais da revisão</t>
  </si>
  <si>
    <t>Indicador</t>
  </si>
  <si>
    <t>Valor</t>
  </si>
  <si>
    <t>Observação</t>
  </si>
  <si>
    <t>Total geral de estudos identificados</t>
  </si>
  <si>
    <t>Total de registros presentes nas seis abas de metadados.</t>
  </si>
  <si>
    <t>Total após remoção de duplicatas</t>
  </si>
  <si>
    <t>Contagem de chaves únicas considerando DOI e, na ausência deste, título normalizado.</t>
  </si>
  <si>
    <t>Total após critérios de inclusão/exclusão</t>
  </si>
  <si>
    <t>Triagem realizada a partir do título e do resumo, em conformidade com o protocolo da planilha.</t>
  </si>
  <si>
    <t>Total final analisado</t>
  </si>
  <si>
    <t>Corresponde ao conjunto elegível após a triagem temática sobre os metadados.</t>
  </si>
  <si>
    <t>Estatísticas da Revisão</t>
  </si>
  <si>
    <t>Tabelas consolidadas para apoiar a leitura quantitativa do corpus da revisão.</t>
  </si>
  <si>
    <t>Distribuição por base</t>
  </si>
  <si>
    <t>Primários</t>
  </si>
  <si>
    <t>Secundários</t>
  </si>
  <si>
    <t>Distribuição por tipo de estudo</t>
  </si>
  <si>
    <t>Quantidade</t>
  </si>
  <si>
    <t>Distribuição por ano</t>
  </si>
  <si>
    <t>Rastreabilidade da Seleção</t>
  </si>
  <si>
    <t>Registro sequencial das etapas principais da seleção e do refinamento do corpus.</t>
  </si>
  <si>
    <t>Etapa</t>
  </si>
  <si>
    <t>Quantidade de artigos</t>
  </si>
  <si>
    <t>Descrição</t>
  </si>
  <si>
    <t>Resultados iniciais da busca</t>
  </si>
  <si>
    <t>Total inicial recuperado nas buscas primárias e secundárias nas três bases.</t>
  </si>
  <si>
    <t>Após remoção de duplicatas</t>
  </si>
  <si>
    <t>Conjunto remanescente após consolidação por DOI e título normalizado.</t>
  </si>
  <si>
    <t>Triagem por título e resumo</t>
  </si>
  <si>
    <t>Os metadados deduplicados foram lidos para verificação de aderência temática ao foco MAS–LLM.</t>
  </si>
  <si>
    <t>Após critérios de inclusão/exclusão</t>
  </si>
  <si>
    <t>Registros considerados pertinentes ao escopo da revisão a partir dos critérios aplicados sobre título e resumo.</t>
  </si>
  <si>
    <t>Estudos incluídos na revisão</t>
  </si>
  <si>
    <t>Conjunto final analisado nesta planilha de apoio metodológico.</t>
  </si>
  <si>
    <t>Controle de Deduplicação</t>
  </si>
  <si>
    <t>Controle das chaves utilizadas na consolidação, com indicação dos registros únicos e dos casos repetidos entre bases e categorias.</t>
  </si>
  <si>
    <t>Chave de deduplicação</t>
  </si>
  <si>
    <t>Quantidade de ocorrências</t>
  </si>
  <si>
    <t>Bases envolvidas</t>
  </si>
  <si>
    <t>Tipos envolvidos</t>
  </si>
  <si>
    <t>IDs relacionados</t>
  </si>
  <si>
    <t>Títulos relacionados</t>
  </si>
  <si>
    <t>Status</t>
  </si>
  <si>
    <t>IEEE Xplore; Web of Science</t>
  </si>
  <si>
    <t>Primário; Secundário</t>
  </si>
  <si>
    <t>P-IEEE-041; S-IEEE-013; S-WOS-012</t>
  </si>
  <si>
    <t>Duplicado</t>
  </si>
  <si>
    <t>Web of Science; IEEE Xplore</t>
  </si>
  <si>
    <t>P-WOS-038; S-IEEE-012; S-WOS-006</t>
  </si>
  <si>
    <t>P-IEEE-071; P-WOS-060; S-IEEE-016</t>
  </si>
  <si>
    <t>P-WOS-056; S-WOS-003</t>
  </si>
  <si>
    <t>P-WOS-065; S-WOS-017</t>
  </si>
  <si>
    <t>P-IEEE-106; P-WOS-073</t>
  </si>
  <si>
    <t>P-IEEE-057; P-WOS-083</t>
  </si>
  <si>
    <t>P-IEEE-031; P-WOS-037</t>
  </si>
  <si>
    <t>P-IEEE-062; P-WOS-028</t>
  </si>
  <si>
    <t>P-IEEE-052; P-WOS-025</t>
  </si>
  <si>
    <t>Assessing and Enhancing the Robustness of LLM-Based Multi-Agent Systems Through Chaos Engineering | Assessing and Enhancing the Robustness of LLM-based Multi-Agent Systems Through Chaos Engineering</t>
  </si>
  <si>
    <t>P-IEEE-019; S-IEEE-005</t>
  </si>
  <si>
    <t>P-IEEE-010; P-WOS-017</t>
  </si>
  <si>
    <t>P-IEEE-103; P-WOS-049</t>
  </si>
  <si>
    <t>P-IEEE-087; P-WOS-071</t>
  </si>
  <si>
    <t>P-IEEE-054; P-WOS-031</t>
  </si>
  <si>
    <t>S-IEEE-014; S-WOS-009</t>
  </si>
  <si>
    <t>P-IEEE-009; P-WOS-029</t>
  </si>
  <si>
    <t>P-IEEE-089; P-WOS-020</t>
  </si>
  <si>
    <t>P-IEEE-080; S-IEEE-009</t>
  </si>
  <si>
    <t>P-IEEE-098; P-WOS-057</t>
  </si>
  <si>
    <t>Enhancing Multi-Agent Systems via Reinforcement Learning with LLM-Based Planner and Graph-Based Policy | Enhancing Multi-Agent Systems via Reinforcement Learning with LLM-based Planner and Graph-based Policy</t>
  </si>
  <si>
    <t>P-IEEE-039; P-WOS-050</t>
  </si>
  <si>
    <t>P-IEEE-112; P-WOS-072</t>
  </si>
  <si>
    <t>Earth Action in Transition: Highlights From the 2025 ESA–NASA International Workshop on AI Foundation Models for EO [Space-Agencies] | Earth Action in Transition: Highlights From the 2025 ESANASA International Workshop on AI Foundation Models for EO {[}Space-Agencies]</t>
  </si>
  <si>
    <t>P-IEEE-081; P-WOS-067</t>
  </si>
  <si>
    <t>P-IEEE-058; P-WOS-007</t>
  </si>
  <si>
    <t>P-IEEE-018; P-WOS-013</t>
  </si>
  <si>
    <t>P-IEEE-070; P-WOS-062</t>
  </si>
  <si>
    <t>P-IEEE-064; S-IEEE-015</t>
  </si>
  <si>
    <t>P-IEEE-033; P-WOS-003</t>
  </si>
  <si>
    <t>P-IEEE-035; P-WOS-061</t>
  </si>
  <si>
    <t>P-IEEE-008; P-WOS-006</t>
  </si>
  <si>
    <t>P-IEEE-084; P-WOS-070</t>
  </si>
  <si>
    <t>S-IEEE-006; S-WOS-015</t>
  </si>
  <si>
    <t>P-IEEE-037; P-WOS-053</t>
  </si>
  <si>
    <t>The Agentopia Times: Understanding and Mitigating Hallucinations in Multi-Agent LLM Systems via Data Journalism Gameplay | THE AGENTOPIA TIMES: Understanding and Mitigating Hallucinations in Multi-Agent LLM Systems via Data Journalism Gameplay</t>
  </si>
  <si>
    <t>P-ACM-120; S-ACM-074</t>
  </si>
  <si>
    <t>P-ACM-083; S-ACM-064</t>
  </si>
  <si>
    <t>P-ACM-090; S-ACM-032</t>
  </si>
  <si>
    <t>P-ACM-091; S-ACM-069</t>
  </si>
  <si>
    <t>P-ACM-087; S-ACM-057</t>
  </si>
  <si>
    <t>P-ACM-088; S-ACM-030</t>
  </si>
  <si>
    <t>P-ACM-076; S-ACM-067</t>
  </si>
  <si>
    <t>P-ACM-062; S-ACM-059</t>
  </si>
  <si>
    <t>P-ACM-073; S-ACM-056</t>
  </si>
  <si>
    <t>P-ACM-018; S-ACM-015</t>
  </si>
  <si>
    <t>P-ACM-082; S-ACM-060</t>
  </si>
  <si>
    <t>P-ACM-075; S-ACM-072</t>
  </si>
  <si>
    <t>P-ACM-058; S-ACM-049</t>
  </si>
  <si>
    <t>P-ACM-005; S-ACM-006</t>
  </si>
  <si>
    <t>P-ACM-077; S-ACM-066</t>
  </si>
  <si>
    <t>P-ACM-015; S-ACM-008</t>
  </si>
  <si>
    <t>P-ACM-055; S-ACM-061</t>
  </si>
  <si>
    <t>P-ACM-045; S-ACM-055</t>
  </si>
  <si>
    <t>P-ACM-074; S-ACM-033</t>
  </si>
  <si>
    <t>P-ACM-054; S-ACM-052</t>
  </si>
  <si>
    <t>P-ACM-021; S-ACM-025</t>
  </si>
  <si>
    <t>P-ACM-047; S-ACM-043</t>
  </si>
  <si>
    <t>P-ACM-043; S-ACM-044</t>
  </si>
  <si>
    <t>P-ACM-057; S-ACM-024</t>
  </si>
  <si>
    <t>P-ACM-067; S-ACM-027</t>
  </si>
  <si>
    <t>P-ACM-031; S-ACM-036</t>
  </si>
  <si>
    <t>P-ACM-037; S-ACM-035</t>
  </si>
  <si>
    <t>P-ACM-084; S-ACM-029</t>
  </si>
  <si>
    <t>P-ACM-009; S-ACM-009</t>
  </si>
  <si>
    <t>P-ACM-038; S-ACM-038</t>
  </si>
  <si>
    <t>P-ACM-066; S-ACM-050</t>
  </si>
  <si>
    <t>P-ACM-013; S-ACM-010</t>
  </si>
  <si>
    <t>P-ACM-004; S-ACM-005</t>
  </si>
  <si>
    <t>P-ACM-011; S-ACM-014</t>
  </si>
  <si>
    <t>P-ACM-019; S-ACM-016</t>
  </si>
  <si>
    <t>P-ACM-029; S-ACM-031</t>
  </si>
  <si>
    <t>P-ACM-002; S-ACM-003</t>
  </si>
  <si>
    <t>P-ACM-050; S-ACM-022</t>
  </si>
  <si>
    <t>P-ACM-008; S-ACM-012</t>
  </si>
  <si>
    <t>P-ACM-039; S-ACM-051</t>
  </si>
  <si>
    <t>P-ACM-020; S-ACM-021</t>
  </si>
  <si>
    <t>P-ACM-035; S-ACM-054</t>
  </si>
  <si>
    <t>P-ACM-036; S-ACM-045</t>
  </si>
  <si>
    <t>P-ACM-017; S-ACM-020</t>
  </si>
  <si>
    <t>P-ACM-049; S-ACM-042</t>
  </si>
  <si>
    <t>P-ACM-041; S-ACM-048</t>
  </si>
  <si>
    <t>P-ACM-104; S-ACM-071</t>
  </si>
  <si>
    <t>P-ACM-028; S-ACM-017</t>
  </si>
  <si>
    <t>P-ACM-025; S-ACM-028</t>
  </si>
  <si>
    <t>P-ACM-071; S-ACM-039</t>
  </si>
  <si>
    <t>P-ACM-010; S-ACM-001</t>
  </si>
  <si>
    <t>P-ACM-027; S-ACM-037</t>
  </si>
  <si>
    <t>P-ACM-007; S-ACM-011</t>
  </si>
  <si>
    <t>P-ACM-069; S-ACM-062</t>
  </si>
  <si>
    <t>P-ACM-026; S-ACM-040</t>
  </si>
  <si>
    <t>P-ACM-014; S-ACM-007</t>
  </si>
  <si>
    <t>P-ACM-061; S-ACM-046</t>
  </si>
  <si>
    <t>P-ACM-006; S-ACM-013</t>
  </si>
  <si>
    <t>P-ACM-044; S-ACM-058</t>
  </si>
  <si>
    <t>P-ACM-024; S-ACM-047</t>
  </si>
  <si>
    <t>P-ACM-034; S-ACM-018</t>
  </si>
  <si>
    <t>P-ACM-040; S-ACM-041</t>
  </si>
  <si>
    <t>P-ACM-003; S-ACM-004</t>
  </si>
  <si>
    <t>P-ACM-079; S-ACM-068</t>
  </si>
  <si>
    <t>P-ACM-001; S-ACM-002</t>
  </si>
  <si>
    <t>P-ACM-030; S-ACM-065</t>
  </si>
  <si>
    <t>P-ACM-012; S-ACM-019</t>
  </si>
  <si>
    <t>P-ACM-094; S-ACM-070</t>
  </si>
  <si>
    <t>P-ACM-022; S-ACM-026</t>
  </si>
  <si>
    <t>P-ACM-052; S-ACM-053</t>
  </si>
  <si>
    <t>P-ACM-063; S-ACM-034</t>
  </si>
  <si>
    <t>P-ACM-032; S-ACM-023</t>
  </si>
  <si>
    <t>P-ACM-064; S-ACM-063</t>
  </si>
  <si>
    <t>P-ACM-110; S-ACM-075</t>
  </si>
  <si>
    <t>P-ACM-093; S-ACM-073</t>
  </si>
  <si>
    <t>Único</t>
  </si>
  <si>
    <t>Procedimento Metodológico</t>
  </si>
  <si>
    <t>Síntese do protocolo empregado para organização, conferência, deduplicação e triagem dos metadados da revisão.</t>
  </si>
  <si>
    <t>Descrição metodológica</t>
  </si>
  <si>
    <t>Registro na planilha</t>
  </si>
  <si>
    <t>1. Coleta dos metadados</t>
  </si>
  <si>
    <t>Os metadados foram preservados por base e por categoria de busca (estudos primários e estudos secundários), mantendo a separação original para rastreabilidade.</t>
  </si>
  <si>
    <t>Seis abas de metadados: IEEE, ACM e Web of Science, em primários e secundários.</t>
  </si>
  <si>
    <t>2. Conferência das quantidades</t>
  </si>
  <si>
    <t>As quantidades foram validadas com base nos arquivos exportados e na conferência manual dos resultados.</t>
  </si>
  <si>
    <t>Aba Consolidação geral com totais por base.</t>
  </si>
  <si>
    <t>3. Normalização dos campos</t>
  </si>
  <si>
    <t>Foram padronizados os campos essenciais para leitura comparável: título, autores, ano, base, tipo de estudo, DOI, link e resumo.</t>
  </si>
  <si>
    <t>Estrutura uniforme nas seis abas principais.</t>
  </si>
  <si>
    <t>4. Deduplicação auditável</t>
  </si>
  <si>
    <t>A consolidação utilizou como chave preferencial o DOI e, na ausência deste, o título normalizado. Cada chave foi registrada em aba própria.</t>
  </si>
  <si>
    <t>Aba "Controle de Deduplicação" e coluna auxiliar de consolidação.</t>
  </si>
  <si>
    <t>5. Triagem temática</t>
  </si>
  <si>
    <t>A aderência ao tema foi verificada a partir do título e do resumo, considerando a presença simultânea de termos relacionados a MAS, LLM e às questões de pesquisa do estudo. A classificação no campo “Questões de pesquisa atendidas” foi realizada com base na leitura e análise dos estudos, seguindo os critérios definidos no protocolo da revisão para cada RQ.</t>
  </si>
  <si>
    <t>Colunas "Relevância para a pesquisa" e "Questões de pesquisa atendidas".</t>
  </si>
  <si>
    <t>6. Consolidação final</t>
  </si>
  <si>
    <t>Os totais gerais, estatísticas e a rastreabilidade das etapas foram organizados em abas sintéticas para permitir auditoria metodológica do corpus.</t>
  </si>
  <si>
    <t>Abas "Consolidação Geral da RSL", "Estatísticas da Revisão" e "Rastreabilidade da Seleção".</t>
  </si>
  <si>
    <t>7. Observação específica da IEEE</t>
  </si>
  <si>
    <t>Para o conjunto primário da IEEE, embora a exportação inicial tenha retornado um número superior de registros, foi identificada a presença de inconsistências nos metadados, incluindo duplicidades, registros incompletos e entradas não recuperadas corretamente durante o processo de exportação. Dessa forma, foi realizada uma conferência manual criteriosa, resultando em um total validado de 120 estudos primários efetivamente distintos e elegíveis. Esse procedimento foi adotado para garantir a qualidade, consistência e rastreabilidade dos dados utilizados na revisão, alinhando os resultados às condições reais de recuperação dos estudos na base.</t>
  </si>
  <si>
    <t>Aba "IEEE - Estudos Primários".</t>
  </si>
  <si>
    <t>Legenda de apoio</t>
  </si>
  <si>
    <t>Descrição sucinta das colunas de triagem presentes nas abas principais.</t>
  </si>
  <si>
    <t>Campo</t>
  </si>
  <si>
    <t>Significado</t>
  </si>
  <si>
    <t>Relevância para a pesquisa</t>
  </si>
  <si>
    <t>Indica se o metadado apresenta evidência suficiente de aderência ao foco MAS–LLM no título e no resumo.</t>
  </si>
  <si>
    <t>Usada para a etapa de triagem temática.</t>
  </si>
  <si>
    <t>Questões de pesquisa atendidas</t>
  </si>
  <si>
    <t>Registra, quando aplicável, a associação do estudo com as RQs do protocolo analítico.</t>
  </si>
  <si>
    <t>Os códigos podem aparecer combinados no mesmo registro.</t>
  </si>
  <si>
    <t>Campo narrativo curto para registrar aderência temática e eventual duplicidade.</t>
  </si>
  <si>
    <t>Mantido em linguagem descritiva para facilitar a auditoria.</t>
  </si>
  <si>
    <t>DOI do registro ou, quando ausente, título normalizado.</t>
  </si>
  <si>
    <t>Utilizada na consolidação geral e no controle de deduplicação.</t>
  </si>
  <si>
    <t>Síntese das Questões de Pesquisa</t>
  </si>
  <si>
    <t>Síntese estatística dos registros únicos e relevantes da aba Base_Unificada_Apoio.</t>
  </si>
  <si>
    <t>Corpus analisado: 166 artigos relevantes com Registro_Unico = 1.</t>
  </si>
  <si>
    <t>1. Cobertura das Questões de Pesquisa</t>
  </si>
  <si>
    <t>2. Distribuição das Questões por Base</t>
  </si>
  <si>
    <t>Questão de Pesquisa</t>
  </si>
  <si>
    <t>Artigos que respondem</t>
  </si>
  <si>
    <t>Percentual do corpus</t>
  </si>
  <si>
    <t>3. Intensidade de Cobertura das RQs</t>
  </si>
  <si>
    <t>Número de RQs atendidas por artigo</t>
  </si>
  <si>
    <t>1 RQ</t>
  </si>
  <si>
    <t>2 RQs</t>
  </si>
  <si>
    <t>3 RQs</t>
  </si>
  <si>
    <t>4 RQs</t>
  </si>
  <si>
    <t>5 RQs</t>
  </si>
  <si>
    <t>6 RQs</t>
  </si>
  <si>
    <t>teste</t>
  </si>
  <si>
    <t>4. Rastreamento dos Estudos por Questão</t>
  </si>
  <si>
    <t>ID do Estudo</t>
  </si>
  <si>
    <t>Tipo de Estudo</t>
  </si>
  <si>
    <t>Questões de Pesquisa Atendidas</t>
  </si>
  <si>
    <t>ID_Estudo</t>
  </si>
  <si>
    <t>RQ</t>
  </si>
  <si>
    <t>Dimensão investigada</t>
  </si>
  <si>
    <t>Categoria operacional</t>
  </si>
  <si>
    <t>Evidência/indicador identificado</t>
  </si>
  <si>
    <t>Justificativa da classificação</t>
  </si>
  <si>
    <t>Unidade de contagem</t>
  </si>
  <si>
    <t>Regra de consolidação</t>
  </si>
  <si>
    <t>Denominador da RQ</t>
  </si>
  <si>
    <t>Uso na síntese</t>
  </si>
  <si>
    <t>Arquiteturas, estratégias de coordenação e gerenciamento de agentes</t>
  </si>
  <si>
    <t>Arquiteturas com supervisão humana ou governança</t>
  </si>
  <si>
    <t>Participação humana, suporte, auditoria, segurança ou governança na arquitetura</t>
  </si>
  <si>
    <t>Estudo único</t>
  </si>
  <si>
    <t>Uma linha representa a associação estudo--RQ--categoria; categorias podem ser sobrepostas.</t>
  </si>
  <si>
    <t>Alimenta a contagem da aba Sintese_Incidencia_RQs por RQ e categoria.</t>
  </si>
  <si>
    <t>Domínios e tipos de aplicação prática</t>
  </si>
  <si>
    <t>Gestão de conhecimento e apoio à decisão</t>
  </si>
  <si>
    <t>Aplicações em recuperação de conhecimento, governança de dados, análise ou decisão</t>
  </si>
  <si>
    <t>Engenharia de software e processos de negócio</t>
  </si>
  <si>
    <t>Aplicações em desenvolvimento, testes, requisitos, DevOps, processos empresariais ou recomendação</t>
  </si>
  <si>
    <t>Lacunas de pesquisa e oportunidades futuras</t>
  </si>
  <si>
    <t>Avaliação, métricas e reprodutibilidade</t>
  </si>
  <si>
    <t>Necessidade de benchmarks, métricas, comparação, validação ou reprodutibilidade</t>
  </si>
  <si>
    <t>Ferramentas, frameworks, plataformas e tecnologias de suporte</t>
  </si>
  <si>
    <t>RAG, bases de conhecimento e memória</t>
  </si>
  <si>
    <t>Integração com recuperação, bases de conhecimento, grafos ou memória contextual</t>
  </si>
  <si>
    <t>Mecanismos de orquestração, comunicação, interoperabilidade, contexto e governança</t>
  </si>
  <si>
    <t>Orquestração e coordenação de tarefas</t>
  </si>
  <si>
    <t>Distribuição de subtarefas, planejamento, controle de fluxo ou coordenação de agentes</t>
  </si>
  <si>
    <t>Contexto, memória e conhecimento compartilhado</t>
  </si>
  <si>
    <t>Uso de memória, contexto, RAG, grafos ou conhecimento compartilhado entre agentes</t>
  </si>
  <si>
    <t>Arquiteturas híbridas, distribuídas ou colaborativas</t>
  </si>
  <si>
    <t>Organização com colaboração distribuída, autonomia, hibridismo ou coordenação descentralizada</t>
  </si>
  <si>
    <t>Arquiteturas modulares e baseadas em papéis</t>
  </si>
  <si>
    <t>Especialização funcional de agentes, módulos ou papéis explícitos</t>
  </si>
  <si>
    <t>Arquiteturas baseadas em RAG, memória ou conhecimento</t>
  </si>
  <si>
    <t>Integração de RAG, memória, contexto, grafos de conhecimento ou observabilidade</t>
  </si>
  <si>
    <t>Aplicação prática geral envolvendo MAS--LLM</t>
  </si>
  <si>
    <t>Plataformas especializadas por domínio</t>
  </si>
  <si>
    <t>Solução MAS--LLM proposta ou aplicada em domínio específico</t>
  </si>
  <si>
    <t>Observabilidade, auditoria e governança</t>
  </si>
  <si>
    <t>Monitoramento, rastreabilidade, confiança, auditoria ou governança de agentes</t>
  </si>
  <si>
    <t>Arquiteturas baseadas em grafos ou políticas</t>
  </si>
  <si>
    <t>Uso de grafos, DAGs, knowledge graphs, políticas ou aprendizado por reforço na coordenação</t>
  </si>
  <si>
    <t>IoT, ambientes inteligentes e robótica</t>
  </si>
  <si>
    <t>Aplicações em IoT, espaços inteligentes, robótica, geodados ou sensores</t>
  </si>
  <si>
    <t>Comunicação e negociação entre agentes</t>
  </si>
  <si>
    <t>Troca de mensagens, consenso, negociação, colaboração ou compartilhamento de raciocínio</t>
  </si>
  <si>
    <t>Governança e humano-no-laço</t>
  </si>
  <si>
    <t>Participação humana, validação, controle, governança ou supervisão da execução</t>
  </si>
  <si>
    <t>Segurança cibernética, blockchain e auditoria</t>
  </si>
  <si>
    <t>Aplicações em cibersegurança, contratos inteligentes, auditoria, fuzzing ou ameaças</t>
  </si>
  <si>
    <t>Arquiteturas hierárquicas ou centralizadas</t>
  </si>
  <si>
    <t>Coordenação por agente gerente, planejador, roteador ou estrutura multicamadas</t>
  </si>
  <si>
    <t>Telecomunicações, redes e infraestrutura</t>
  </si>
  <si>
    <t>Aplicações em redes, 6G, O-RAN, nuvem, borda ou infraestrutura</t>
  </si>
  <si>
    <t>MultiFuzz: A Dense Retrieval-based Multi-Agent System for Network Protocol Fu...</t>
  </si>
  <si>
    <t>Protocolos e interoperabilidade</t>
  </si>
  <si>
    <t>Uso ou proposta de protocolos, APIs ou mecanismos de acoplamento entre agentes, serviços e ferramentas</t>
  </si>
  <si>
    <t>Interoperabilidade com ferramentas e serviços</t>
  </si>
  <si>
    <t>Integração com APIs, serviços externos, dados, infraestrutura ou ferramentas de execução</t>
  </si>
  <si>
    <t>Escalabilidade, custo e eficiência</t>
  </si>
  <si>
    <t>Oportunidades relacionadas a custo, escalabilidade, especialização e uso eficiente de recursos</t>
  </si>
  <si>
    <t>AutoHMA-LLM: Efficient Task Coordination and Execution in Heterogeneous Multi...</t>
  </si>
  <si>
    <t>Evidência geral de arquitetura MAS--LLM</t>
  </si>
  <si>
    <t>Enabling Synergistic Knowledge Sharing and Reasoning in Large Language Models...</t>
  </si>
  <si>
    <t>Leveraging Multi-Agent Systems and Large Language Models for Diabetes Knowled...</t>
  </si>
  <si>
    <t>Desafios, limitações, riscos e barreiras técnicas</t>
  </si>
  <si>
    <t>Coordenação, alinhamento e decisão</t>
  </si>
  <si>
    <t>Limitação geral associada à integração MAS--LLM</t>
  </si>
  <si>
    <t>Saúde, educação e apoio humano</t>
  </si>
  <si>
    <t>Aplicações em saúde, educação, apoio humano, personalização ou sistemas biomédicos</t>
  </si>
  <si>
    <t>A Comparative Study Towards Designing a Hybrid Architecture of Microservices ...</t>
  </si>
  <si>
    <t>Evidência geral de coordenação MAS--LLM</t>
  </si>
  <si>
    <t>Lacuna ou oportunidade futura geral</t>
  </si>
  <si>
    <t>Multi-agent Self-Reflection Framework: Enhancing the Logical Reasoning Abilit...</t>
  </si>
  <si>
    <t>Frameworks e plataformas gerais</t>
  </si>
  <si>
    <t>Solução reutilizável para construção, coordenação ou execução de agentes LLM</t>
  </si>
  <si>
    <t>Analysing the Role of Multi-Agent AI Models for Autonomous Business Decision ...</t>
  </si>
  <si>
    <t>An Architecture for Integrating Large Language Models with Digital Twins and ...</t>
  </si>
  <si>
    <t>Evidência genérica de ferramenta, plataforma ou tecnologia MAS--LLM</t>
  </si>
  <si>
    <t>Conversational AI-Powered Multi-Agent System for Mobile Application Accessibi...</t>
  </si>
  <si>
    <t>Role-Playing LLM-Based Multi-Agent Support Framework for Detecting and Addres...</t>
  </si>
  <si>
    <t>Towards Communication Efficient Multi-Agent Cooperations: Reinforcement Learn...</t>
  </si>
  <si>
    <t>AutoForma: A Large Language Model-Based Multi-Agent for Computer-Automated De...</t>
  </si>
  <si>
    <t>Advancing Personality Prediction: A Multi-Agent Framework with RAG for MBTI C...</t>
  </si>
  <si>
    <t>An Adaptive Multi-Agent LLM-Based Clinical Decision Support System Integratin...</t>
  </si>
  <si>
    <t>LLM4MDG: Leveraging Large Language Model to Construct Microservices Dependenc...</t>
  </si>
  <si>
    <t>The Agentopia Times: Understanding and Mitigating Hallucinations in Multi-Age...</t>
  </si>
  <si>
    <t>LLM Enabled Multi-Agent System for 6G Networks: Framework and Method of Dual-...</t>
  </si>
  <si>
    <t>Modular Task Decomposition and Dynamic Collaboration in Multi-Agent Systems D...</t>
  </si>
  <si>
    <t>Transforming Software Development: A Study on the Integration of Multi-Agent ...</t>
  </si>
  <si>
    <t>Retrieval-Augmented LLM-Driven Multi-Agent Optimization Framework for Intelli...</t>
  </si>
  <si>
    <t>SCGen-Agent: Automated Generation of Smart Contract Based on Multi-agent Coll...</t>
  </si>
  <si>
    <t>Cross-Modal Causal Fusion and Bidirectional Reasoning for Microservice Root-C...</t>
  </si>
  <si>
    <t>Multi-Agent Cooperative Retrieval-Augmented Generation for Efficient Electric...</t>
  </si>
  <si>
    <t>Manufatura, energia e cadeia de suprimentos</t>
  </si>
  <si>
    <t>Aplicações industriais, escalonamento, cadeia de suprimentos, energia ou produção</t>
  </si>
  <si>
    <t>Assessing and Enhancing the Robustness of LLM-Based Multi-Agent Systems Throu...</t>
  </si>
  <si>
    <t>Real-World Deployment of an LLM-Enabled Voice-Commanded UGV for Logistics in ...</t>
  </si>
  <si>
    <t>A Multi-Agent System for Cybersecurity Threat Detection and Correlation Using...</t>
  </si>
  <si>
    <t>FedLMA: A Federated Learning Framework Integrating LLM-Based Multi-Agent Reas...</t>
  </si>
  <si>
    <t>Segurança, confiança e governança</t>
  </si>
  <si>
    <t>Riscos de segurança, confiança, auditoria, privacidade, ameaças ou governança</t>
  </si>
  <si>
    <t>Segurança, governança e auditabilidade</t>
  </si>
  <si>
    <t>Necessidade de segurança, governança, auditoria, rastreabilidade ou controle de riscos</t>
  </si>
  <si>
    <t>Automating Environmental Impact Assessments: An Agentic AI Framework for Comp...</t>
  </si>
  <si>
    <t>Semantic Kernel for Software Engineering: A Multi-Agent Framework for Autonom...</t>
  </si>
  <si>
    <t>Coordinating Search with Foundation Models and Multi-Agent Reinforcement Lear...</t>
  </si>
  <si>
    <t>Enhancing Stock Price Forecasting with a Multi-Agent System and Time Series A...</t>
  </si>
  <si>
    <t>The Power of Small LLMs: A Multi-Agent for Code Generation via Dynamic Precau...</t>
  </si>
  <si>
    <t>A Multi-Agent Architecture for Governance and Security of LLM-Based Knowledge...</t>
  </si>
  <si>
    <t>Generative AI Multi-Agent System with Retrieval Augmented Generation for Real...</t>
  </si>
  <si>
    <t>Building Multi-Agent Copilot towards Autonomous Agricultural Data Management ...</t>
  </si>
  <si>
    <t>Agents4PLC: Automating Closed-loop PLC Code Generation and Verification in In...</t>
  </si>
  <si>
    <t>Using Role-Specialized LLM Agents for Workflow Execution in a Product Develop...</t>
  </si>
  <si>
    <t>MAMoE: A Multi-Agent Mixture-of-Experts Framework for LLM-Assisted 3D Object ...</t>
  </si>
  <si>
    <t>From Abstract Prompts to Cybersecurity Labs: Automating Virtual Environment D...</t>
  </si>
  <si>
    <t>Harnessing Multi-Agent LLMs for Complex Engineering Problem-Solving: A Framew...</t>
  </si>
  <si>
    <t>Language Evolution for Evading Social Media Regulation via LLM-Based Multi-Ag...</t>
  </si>
  <si>
    <t>A Multi-Agent Architecture for Privacy-Preserving Natural Language Interactio...</t>
  </si>
  <si>
    <t>Automating Prompt Leakage Attacks on Large Language Models Using Agentic Appr...</t>
  </si>
  <si>
    <t>Conversational Product Navigation for E-Commerce Via Knowledge-Based Multi-Ag...</t>
  </si>
  <si>
    <t>Scalable Invoice Reconciliation for SMEs: Edge-Deployed LLMs in Multi-Agent S...</t>
  </si>
  <si>
    <t>Enhancing Multi-Agent Systems via Reinforcement Learning with LLM-Based Plann...</t>
  </si>
  <si>
    <t>Dificuldades de coordenação, alinhamento, decisão ou colaboração multiagente</t>
  </si>
  <si>
    <t>Privacy-by-Design in AI-Assisted Systems for Caregivers of Children with Auti...</t>
  </si>
  <si>
    <t>Multi-Agent Multimodal Large Language Model Framework for Automated Interpret...</t>
  </si>
  <si>
    <t>Dynamic Consensus Communication Mechanism for Large Language Model-Based Mult...</t>
  </si>
  <si>
    <t>Flow-of-Action: SOP Enhanced LLM-Based Multi-Agent System for Root Cause Anal...</t>
  </si>
  <si>
    <t>BlockAgents: Towards Byzantine-Robust LLM-Based Multi-Agent Coordination via ...</t>
  </si>
  <si>
    <t>Agentic LLMs in the supply chain: towards autonomous multi-agent consensus-se...</t>
  </si>
  <si>
    <t>AutoBEE: A hierarchical multi-agent approach for energy and environmental par...</t>
  </si>
  <si>
    <t>Adaptive task planning and coordination in multi-agent manufacturing systems ...</t>
  </si>
  <si>
    <t>Resource state adaptive collaboration mechanism based on resource modeling an...</t>
  </si>
  <si>
    <t>Collaborative Problem-Solving with LLM: A Multi-agent System Approach to Solv...</t>
  </si>
  <si>
    <t>MaRAG: a knowledge graph and retrieval-augmented framework for maritime accid...</t>
  </si>
  <si>
    <t>Comunicação, contexto e memória</t>
  </si>
  <si>
    <t>Problemas de comunicação, contexto, memória, alucinação ou viés</t>
  </si>
  <si>
    <t>Research and Application of a Multi-Agent-Based Intelligent Mine Gas State De...</t>
  </si>
  <si>
    <t>Multi-Agent Proactive Information Seeking with Adaptive LLM Orchestration for...</t>
  </si>
  <si>
    <t>MALADE: Orchestration of LLM-powered Agents with Retrieval Augmented Generati...</t>
  </si>
  <si>
    <t>AI BIM coordinator for non-expert interaction in building design using LLM-dr...</t>
  </si>
  <si>
    <t>Planejamento e coordenação de longo horizonte</t>
  </si>
  <si>
    <t>Limitações e oportunidades em planejamento prolongado, coordenação e tarefas complexas</t>
  </si>
  <si>
    <t>Leveraging large language model to generate a novel metaheuristic algorithm w...</t>
  </si>
  <si>
    <t>An interactive system for 3D spatial relationship query by integrating tree-b...</t>
  </si>
  <si>
    <t>Accelerating primer design for amplicon sequencing using large language model...</t>
  </si>
  <si>
    <t>LLM-Based Agent Society Investigation: Collaboration and Confrontation in Ava...</t>
  </si>
  <si>
    <t>Using Generated Rubrics to Provide a Window Into Item Evaluation with Multi-a...</t>
  </si>
  <si>
    <t>Avaliação e reprodutibilidade</t>
  </si>
  <si>
    <t>Ausência de métricas, benchmarks, comparação ou reprodutibilidade</t>
  </si>
  <si>
    <t>CurriculumPT: LLM-Based Multi-Agent Autonomous Penetration Testing with Curri...</t>
  </si>
  <si>
    <t>A Semantic Framework for the Contextual Interpretation of ADHD Symptom Manife...</t>
  </si>
  <si>
    <t>Towards reliable generative AI-driven scaffolding: Reducing hallucinations an...</t>
  </si>
  <si>
    <t>Cued-Agent: A Collaborative Multi-Agent System for Automatic Cued Speech Reco...</t>
  </si>
  <si>
    <t>MACM: Utilizing a Multi-Agent System for Condition Mining in Solving Complex ...</t>
  </si>
  <si>
    <t>Build a Multimodal Interaction and Multi-Agent Collaborative Decision-Making ...</t>
  </si>
  <si>
    <t>Comparing a Human's and a Multi-Agent System's Thematic Analysis: Assessing Q...</t>
  </si>
  <si>
    <t>FINCON: A Synthesized LLM Multi-Agent System with Conceptual Verbal Reinforce...</t>
  </si>
  <si>
    <t>IBGP: Imperfect Byzantine Generals Problem for Zero-Shot Robustness in Commun...</t>
  </si>
  <si>
    <t>Co-DIRECT: A knowledge-augmented multi-agent framework for interactive drama ...</t>
  </si>
  <si>
    <t>Case Studies on LLM Centric and Services Oriented Data Analytics Agent Develo...</t>
  </si>
  <si>
    <t>Towards Foundation-model-based Multiagent System to Accelerate AI for Social ...</t>
  </si>
  <si>
    <t>ELISAR: A Multi-Agent cybersecurity framework integrating retrieval-augmented...</t>
  </si>
  <si>
    <t>Unlocking the Potential of Decentralized LLM-based MAS: Privacy Preservation ...</t>
  </si>
  <si>
    <t>Multi-Examiner: A Knowledge Graph-Driven System for Generating Comprehensive ...</t>
  </si>
  <si>
    <t>Fostering collective intelligence in CPSS: an LLM-driven multi-agent cooperat...</t>
  </si>
  <si>
    <t>Agentic memory-augmented retrieval and evidence grounding for medical questio...</t>
  </si>
  <si>
    <t>LLM-based multi-agent task planning for human-robot collaborative assembly ba...</t>
  </si>
  <si>
    <t>Norm Violation Detection in Multi-Agent Systems Using Large Language Models A...</t>
  </si>
  <si>
    <t>Are Autonomous Agents the Inevitable Future of Decentralized Finance? A Revie...</t>
  </si>
  <si>
    <t>Large Language Model Applications in Power Systems: A Comprehensive Review an...</t>
  </si>
  <si>
    <t>TrustNet: A Hybrid Machine Learning and LLM-Based Multi-Agent System for Scam...</t>
  </si>
  <si>
    <t>Hydra-Reviewer: A Holistic Multi-Agent System for Automatic Code Review Comme...</t>
  </si>
  <si>
    <t>LABMATE: Language Model Based Multi-Agent System to Accelerate Catalysis Expe...</t>
  </si>
  <si>
    <t>Empowering Conversational Systems Through AI Agents Specialized in Reusable A...</t>
  </si>
  <si>
    <t>Total_RQ</t>
  </si>
  <si>
    <t>Estudos_na_categoria</t>
  </si>
  <si>
    <t>Percentual_sobre_RQ</t>
  </si>
  <si>
    <t>Regra de cálculo</t>
  </si>
  <si>
    <t>Tipo de categoria</t>
  </si>
  <si>
    <t>Papel na síntese</t>
  </si>
  <si>
    <t>Interpretação para os resultados</t>
  </si>
  <si>
    <t>Observação metodológica</t>
  </si>
  <si>
    <t>Percentual = Estudos_na_categoria / Total_RQ</t>
  </si>
  <si>
    <t>Sobreposta</t>
  </si>
  <si>
    <t>Predominante</t>
  </si>
  <si>
    <t>Categoria com maior incidência interna na RQ1; base para a principal tendência reportada.</t>
  </si>
  <si>
    <t>Percentuais calculados dentro da respectiva RQ; somas podem ultrapassar 100% por sobreposição.</t>
  </si>
  <si>
    <t>Recorrente</t>
  </si>
  <si>
    <t>Categoria recorrente na RQ1; indica dimensão relevante, mas secundária em relação à predominante.</t>
  </si>
  <si>
    <t>Menos recorrente / emergente</t>
  </si>
  <si>
    <t>Categoria menos recorrente/emergente na RQ1; indica dimensão ainda pouco consolidada ou especializada.</t>
  </si>
  <si>
    <t>Categoria com maior incidência interna na RQ2; base para a principal tendência reportada.</t>
  </si>
  <si>
    <t>Categoria menos recorrente/emergente na RQ2; indica dimensão ainda pouco consolidada ou especializada.</t>
  </si>
  <si>
    <t>Categoria com maior incidência interna na RQ3; base para a principal tendência reportada.</t>
  </si>
  <si>
    <t>Categoria menos recorrente/emergente na RQ3; indica dimensão ainda pouco consolidada ou especializada.</t>
  </si>
  <si>
    <t>Categoria com maior incidência interna na RQ4; base para a principal tendência reportada.</t>
  </si>
  <si>
    <t>Categoria recorrente na RQ4; indica dimensão relevante, mas secundária em relação à predominante.</t>
  </si>
  <si>
    <t>Categoria menos recorrente/emergente na RQ4; indica dimensão ainda pouco consolidada ou especializada.</t>
  </si>
  <si>
    <t>Categoria com maior incidência interna na RQ5; base para a principal tendência reportada.</t>
  </si>
  <si>
    <t>Categoria menos recorrente/emergente na RQ5; indica dimensão ainda pouco consolidada ou especializada.</t>
  </si>
  <si>
    <t>Categoria com maior incidência interna na RQ6; base para a principal tendência reportada.</t>
  </si>
  <si>
    <t>Categoria menos recorrente/emergente na RQ6; indica dimensão ainda pouco consolidada ou especializada.</t>
  </si>
  <si>
    <t>Critério de inclusão</t>
  </si>
  <si>
    <t>Evidências consideradas</t>
  </si>
  <si>
    <t>Critério de consolidação</t>
  </si>
  <si>
    <t>Denominador do percentual</t>
  </si>
  <si>
    <t>Sobreposição</t>
  </si>
  <si>
    <t>Uso nos resultados</t>
  </si>
  <si>
    <t>Exemplos de estudos</t>
  </si>
  <si>
    <t>Ferramentas ou plataformas reutilizáveis para criação, coordenação ou execução de agentes LLM.</t>
  </si>
  <si>
    <t>Evidências semanticamente equivalentes ou funcionalmente próximas foram consolidadas nesta categoria.</t>
  </si>
  <si>
    <t>Estudo único que reporta ao menos uma evidência da categoria; não se conta o número de menções textuais.</t>
  </si>
  <si>
    <t>Total de estudos classificados na RQ1: 38</t>
  </si>
  <si>
    <t>Categoria sobreposta: o mesmo estudo pode aparecer em mais de uma categoria da mesma RQ.</t>
  </si>
  <si>
    <t>Usada para calcular incidência, percentual, predominância e temas emergentes na resposta da RQ.</t>
  </si>
  <si>
    <t>P-IEEE-015; P-IEEE-022; P-IEEE-041; P-IEEE-043</t>
  </si>
  <si>
    <t>Soluções MAS--LLM propostas para domínios específicos, como IoT, redes, manufatura ou blockchain.</t>
  </si>
  <si>
    <t>P-ACM-026; P-IEEE-006; P-IEEE-012; P-IEEE-055</t>
  </si>
  <si>
    <t>Uso de RAG, grafos de conhecimento, bases vetoriais, memória ou recuperação contextual.</t>
  </si>
  <si>
    <t>P-ACM-021; P-ACM-022; P-ACM-026; P-IEEE-006</t>
  </si>
  <si>
    <t>Monitoramento, rastreabilidade, auditoria, confiança, governança ou AgentOps.</t>
  </si>
  <si>
    <t>P-ACM-026; P-IEEE-110; S-WOS-007</t>
  </si>
  <si>
    <t>Protocolos, APIs ou mecanismos de acoplamento entre agentes, ferramentas, dados e serviços.</t>
  </si>
  <si>
    <t>P-IEEE-006; P-IEEE-027</t>
  </si>
  <si>
    <t>Distribuição de subtarefas, planejamento, controle de fluxo, coordenação ou gerenciamento de agentes.</t>
  </si>
  <si>
    <t>Total de estudos classificados na RQ2: 75</t>
  </si>
  <si>
    <t>P-ACM-022; P-IEEE-001; P-IEEE-008; P-IEEE-013</t>
  </si>
  <si>
    <t>Troca de mensagens, group chat, handoffs, negociação, consenso ou colaboração entre agentes.</t>
  </si>
  <si>
    <t>P-IEEE-002; P-IEEE-010; P-IEEE-027; P-IEEE-050</t>
  </si>
  <si>
    <t>Supervisão humana, validação, controle, auditoria ou governança da execução.</t>
  </si>
  <si>
    <t>P-IEEE-002; P-IEEE-026; P-IEEE-048; P-IEEE-055</t>
  </si>
  <si>
    <t>Uso ou compartilhamento de contexto, memória, conhecimento, RAG ou grafos entre agentes.</t>
  </si>
  <si>
    <t>P-ACM-022; P-ACM-024; P-IEEE-006; P-IEEE-010</t>
  </si>
  <si>
    <t>Integração com APIs, bancos de dados, serviços externos, nuvem, borda ou ferramentas de execução.</t>
  </si>
  <si>
    <t>P-IEEE-006; P-IEEE-050; P-IEEE-058; P-IEEE-074</t>
  </si>
  <si>
    <t>Dificuldades de coordenação, alinhamento de objetivos, tomada de decisão ou colaboração.</t>
  </si>
  <si>
    <t>Total de estudos classificados na RQ3: 21</t>
  </si>
  <si>
    <t>P-IEEE-012; P-IEEE-028; P-IEEE-033; P-IEEE-054</t>
  </si>
  <si>
    <t>Problemas de comunicação, contexto, memória, alucinação, coerência ou compartilhamento de estado.</t>
  </si>
  <si>
    <t>P-WOS-030; P-WOS-066; P-WOS-079; P-WOS-082</t>
  </si>
  <si>
    <t>Falta de métricas, benchmarks, comparação, validação, replicação ou reprodutibilidade.</t>
  </si>
  <si>
    <t>P-WOS-046; S-IEEE-011</t>
  </si>
  <si>
    <t>Riscos de segurança, confiança, auditoria, privacidade, ameaças, controle ou governança.</t>
  </si>
  <si>
    <t>P-IEEE-063; P-WOS-065</t>
  </si>
  <si>
    <t>Especialização funcional de agentes, módulos, papéis, agentes especialistas ou divisão de responsabilidades.</t>
  </si>
  <si>
    <t>Total de estudos classificados na RQ4: 123</t>
  </si>
  <si>
    <t>P-ACM-022; P-ACM-024; P-ACM-026; P-ACM-031</t>
  </si>
  <si>
    <t>Combinação de estratégias centralizadas/descentralizadas, colaboração distribuída, autonomia ou hibridismo.</t>
  </si>
  <si>
    <t>Arquiteturas com RAG, memória, contexto, bases vetoriais, grafos de conhecimento ou observabilidade.</t>
  </si>
  <si>
    <t>P-ACM-022; P-ACM-024; P-ACM-026; P-IEEE-006</t>
  </si>
  <si>
    <t>Arquiteturas com humano-no-laço, auditoria, segurança, controle ou governança.</t>
  </si>
  <si>
    <t>P-ACM-009; P-IEEE-003; P-IEEE-026; P-IEEE-031</t>
  </si>
  <si>
    <t>Coordenação por gerente, planejador, roteador, supervisor ou estrutura multicamadas.</t>
  </si>
  <si>
    <t>P-IEEE-004; P-IEEE-033; P-IEEE-049; P-IEEE-080</t>
  </si>
  <si>
    <t>Uso de DAGs, grafos, políticas, aprendizado por reforço ou dependências estruturadas.</t>
  </si>
  <si>
    <t>P-ACM-026; P-IEEE-027; P-IEEE-073; P-IEEE-098</t>
  </si>
  <si>
    <t>Aplicações em recuperação de conhecimento, governança de dados, análise, recomendação ou decisão.</t>
  </si>
  <si>
    <t>Total de estudos classificados na RQ5: 127</t>
  </si>
  <si>
    <t>P-ACM-009; P-ACM-021; P-ACM-022; P-ACM-026</t>
  </si>
  <si>
    <t>Aplicações em requisitos, testes, geração de código, DevOps, processos empresariais ou automação.</t>
  </si>
  <si>
    <t>P-ACM-015; P-ACM-021; P-ACM-024; P-ACM-043</t>
  </si>
  <si>
    <t>Aplicações em ameaças, contratos inteligentes, auditoria, fuzzing, vulnerabilidades ou cibersegurança.</t>
  </si>
  <si>
    <t>P-IEEE-002; P-IEEE-006; P-IEEE-048; P-IEEE-057</t>
  </si>
  <si>
    <t>Aplicações em 6G, O-RAN, nuvem, borda, infraestrutura, redes ou operações autônomas.</t>
  </si>
  <si>
    <t>P-IEEE-004; P-IEEE-006; P-IEEE-018; P-IEEE-039</t>
  </si>
  <si>
    <t>Aplicações em saúde, educação, personalização, apoio humano ou sistemas biomédicos.</t>
  </si>
  <si>
    <t>P-IEEE-012; P-IEEE-059; P-IEEE-098; P-WOS-001</t>
  </si>
  <si>
    <t>Aplicações em IoT, sensores, espaços inteligentes, robótica, geodados ou sistemas físicos.</t>
  </si>
  <si>
    <t>P-ACM-026; P-IEEE-055; P-IEEE-076; P-IEEE-086</t>
  </si>
  <si>
    <t>Aplicações em produção, escalonamento, energia, supply chain ou manufatura.</t>
  </si>
  <si>
    <t>P-IEEE-049; P-IEEE-071; P-WOS-021; P-WOS-023</t>
  </si>
  <si>
    <t>Total de estudos classificados na RQ6: 14</t>
  </si>
  <si>
    <t>P-ACM-015; P-ACM-021; P-ACM-032; P-IEEE-013</t>
  </si>
  <si>
    <t>Lacunas em planejamento prolongado, coordenação cooperativa, tarefas longas ou ambientes dinâmicos.</t>
  </si>
  <si>
    <t>P-WOS-038; S-IEEE-011</t>
  </si>
  <si>
    <t>Lacunas relativas a custo, escalabilidade, eficiência computacional ou especialização.</t>
  </si>
  <si>
    <t>Lacunas em segurança, governança, auditoria, rastreabilidade ou controle de riscos.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</si>
</sst>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ont>
    <font>
      <b/>
      <sz val="14"/>
      <color rgb="FFFFFFFF"/>
      <name val="Calibri"/>
    </font>
    <font>
      <i/>
      <sz val="10"/>
      <color rgb="FF666666"/>
      <name val="Calibri"/>
    </font>
    <font>
      <b/>
      <sz val="11"/>
      <color rgb="FFFFFFFF"/>
      <name val="Calibri"/>
    </font>
    <font>
      <sz val="12"/>
      <color theme="10"/>
      <name val="Calibri"/>
    </font>
    <font>
      <b/>
      <sz val="11"/>
      <name val="Calibri"/>
    </font>
    <font>
      <i/>
      <sz val="11"/>
      <color rgb="FF666666"/>
      <name val="Calibri"/>
    </font>
    <font>
      <b/>
      <sz val="11"/>
      <color rgb="FFFFFFFF"/>
      <name val="Calibri"/>
    </font>
    <font>
      <sz val="11"/>
      <color theme="1"/>
      <name val="Calibri"/>
    </font>
    <font>
      <b/>
      <sz val="10"/>
      <color rgb="FF1F1F1F"/>
      <name val="Calibri"/>
    </font>
    <font>
      <sz val="10"/>
      <color theme="1"/>
      <name val="Calibri"/>
    </font>
  </fonts>
  <fills count="9">
    <fill>
      <patternFill patternType="none"/>
    </fill>
    <fill>
      <patternFill patternType="gray125"/>
    </fill>
    <fill>
      <patternFill patternType="solid">
        <fgColor rgb="FF1F4E78"/>
      </patternFill>
    </fill>
    <fill>
      <patternFill patternType="solid">
        <fgColor rgb="FFF3F6FA"/>
      </patternFill>
    </fill>
    <fill>
      <patternFill patternType="solid">
        <fgColor rgb="FF5B9BD5"/>
      </patternFill>
    </fill>
    <fill>
      <patternFill patternType="solid">
        <fgColor rgb="FFE2F0D9"/>
      </patternFill>
    </fill>
    <fill>
      <patternFill patternType="solid">
        <fgColor rgb="FFFCE4D6"/>
      </patternFill>
    </fill>
    <fill>
      <patternFill patternType="solid">
        <fgColor rgb="FFFFF2CC"/>
      </patternFill>
    </fill>
    <fill>
      <patternFill patternType="solid">
        <fgColor theme="4" tint="0.34998626667073579"/>
        <bgColor indexed="65"/>
      </patternFill>
    </fill>
  </fills>
  <borders count="7">
    <border>
      <left/>
      <right/>
      <top/>
      <bottom/>
      <diagonal/>
    </border>
    <border>
      <left style="thin">
        <color rgb="FFB7C9D6"/>
      </left>
      <right style="thin">
        <color rgb="FFB7C9D6"/>
      </right>
      <top style="thin">
        <color rgb="FFB7C9D6"/>
      </top>
      <bottom style="thin">
        <color rgb="FFB7C9D6"/>
      </bottom>
      <diagonal/>
    </border>
    <border>
      <left/>
      <right/>
      <top/>
      <bottom style="thin">
        <color rgb="FFB7C9D6"/>
      </bottom>
      <diagonal/>
    </border>
    <border>
      <left/>
      <right/>
      <top/>
      <bottom style="thin">
        <color rgb="FFB7C9D6"/>
      </bottom>
      <diagonal/>
    </border>
    <border>
      <left/>
      <right/>
      <top/>
      <bottom style="thin">
        <color rgb="FFB7C9D6"/>
      </bottom>
      <diagonal/>
    </border>
    <border>
      <left style="thin">
        <color rgb="FFD9E2F3"/>
      </left>
      <right style="thin">
        <color rgb="FFD9E2F3"/>
      </right>
      <top style="thin">
        <color rgb="FFD9E2F3"/>
      </top>
      <bottom style="thin">
        <color rgb="FFD9E2F3"/>
      </bottom>
      <diagonal/>
    </border>
    <border>
      <left/>
      <right/>
      <top/>
      <bottom style="thin">
        <color rgb="FFD9E2F3"/>
      </bottom>
      <diagonal/>
    </border>
  </borders>
  <cellStyleXfs count="2">
    <xf numFmtId="0" fontId="0" fillId="0" borderId="0"/>
    <xf numFmtId="0" fontId="4" fillId="0" borderId="0"/>
  </cellStyleXfs>
  <cellXfs count="37">
    <xf numFmtId="0" fontId="0" fillId="0" borderId="0" xfId="0"/>
    <xf numFmtId="0" fontId="1" fillId="2" borderId="0" xfId="0" applyFont="1" applyFill="1" applyAlignment="1">
      <alignment horizontal="center" vertical="center"/>
    </xf>
    <xf numFmtId="0" fontId="3" fillId="4" borderId="1" xfId="0" applyFont="1" applyFill="1" applyBorder="1" applyAlignment="1">
      <alignment horizontal="center" vertical="center" wrapText="1"/>
    </xf>
    <xf numFmtId="0" fontId="0" fillId="0" borderId="2" xfId="0" applyBorder="1" applyAlignment="1">
      <alignment horizontal="center" vertical="top" wrapText="1"/>
    </xf>
    <xf numFmtId="0" fontId="0" fillId="0" borderId="2" xfId="0" applyBorder="1" applyAlignment="1">
      <alignment vertical="top" wrapText="1"/>
    </xf>
    <xf numFmtId="1" fontId="0" fillId="0" borderId="2" xfId="0" applyNumberFormat="1" applyBorder="1" applyAlignment="1">
      <alignment horizontal="center" vertical="top"/>
    </xf>
    <xf numFmtId="0" fontId="4" fillId="0" borderId="0" xfId="1"/>
    <xf numFmtId="0" fontId="0" fillId="5" borderId="2" xfId="0" applyFill="1" applyBorder="1" applyAlignment="1">
      <alignment horizontal="center" vertical="top"/>
    </xf>
    <xf numFmtId="0" fontId="0" fillId="6" borderId="2" xfId="0" applyFill="1" applyBorder="1" applyAlignment="1">
      <alignment horizontal="center" vertical="top"/>
    </xf>
    <xf numFmtId="0" fontId="0" fillId="0" borderId="2" xfId="0" applyBorder="1" applyAlignment="1">
      <alignment vertical="top"/>
    </xf>
    <xf numFmtId="0" fontId="0" fillId="0" borderId="2" xfId="0" applyBorder="1" applyAlignment="1">
      <alignment horizontal="center"/>
    </xf>
    <xf numFmtId="0" fontId="5" fillId="7" borderId="2" xfId="0" applyFont="1" applyFill="1" applyBorder="1" applyAlignment="1">
      <alignment vertical="top"/>
    </xf>
    <xf numFmtId="0" fontId="0" fillId="0" borderId="2" xfId="0" applyBorder="1" applyAlignment="1">
      <alignment horizontal="center" vertical="top"/>
    </xf>
    <xf numFmtId="0" fontId="0" fillId="7" borderId="2" xfId="0" applyFill="1" applyBorder="1" applyAlignment="1">
      <alignment horizontal="center" vertical="top"/>
    </xf>
    <xf numFmtId="0" fontId="3" fillId="4" borderId="5" xfId="0" applyFont="1" applyFill="1" applyBorder="1" applyAlignment="1">
      <alignment horizontal="center" vertical="center" wrapText="1"/>
    </xf>
    <xf numFmtId="0" fontId="0" fillId="0" borderId="5" xfId="0" applyBorder="1"/>
    <xf numFmtId="164" fontId="0" fillId="0" borderId="5" xfId="0" applyNumberFormat="1" applyBorder="1"/>
    <xf numFmtId="164" fontId="0" fillId="0" borderId="0" xfId="0" applyNumberFormat="1"/>
    <xf numFmtId="0" fontId="0" fillId="0" borderId="0" xfId="0" applyAlignment="1">
      <alignment wrapText="1"/>
    </xf>
    <xf numFmtId="0" fontId="7" fillId="4" borderId="1" xfId="0" applyFont="1" applyFill="1" applyBorder="1" applyAlignment="1">
      <alignment horizontal="center" vertical="center" wrapText="1"/>
    </xf>
    <xf numFmtId="0" fontId="0" fillId="0" borderId="0" xfId="0" applyAlignment="1">
      <alignment vertical="center" wrapText="1"/>
    </xf>
    <xf numFmtId="0" fontId="0" fillId="0" borderId="2" xfId="0" applyBorder="1" applyAlignment="1">
      <alignment vertical="center" wrapText="1"/>
    </xf>
    <xf numFmtId="0" fontId="8" fillId="0" borderId="2" xfId="0" applyFont="1" applyBorder="1" applyAlignment="1">
      <alignment vertical="top" wrapText="1"/>
    </xf>
    <xf numFmtId="0" fontId="9" fillId="8" borderId="0" xfId="0" applyFont="1" applyFill="1" applyAlignment="1">
      <alignment vertical="top" wrapText="1"/>
    </xf>
    <xf numFmtId="0" fontId="9" fillId="8" borderId="0" xfId="0" applyFont="1" applyFill="1" applyAlignment="1">
      <alignment wrapText="1"/>
    </xf>
    <xf numFmtId="0" fontId="10" fillId="0" borderId="0" xfId="0" applyFont="1" applyAlignment="1">
      <alignment vertical="top" wrapText="1"/>
    </xf>
    <xf numFmtId="0" fontId="10" fillId="0" borderId="0" xfId="0" applyFont="1" applyAlignment="1">
      <alignment wrapText="1"/>
    </xf>
    <xf numFmtId="164" fontId="10" fillId="0" borderId="0" xfId="0" applyNumberFormat="1" applyFont="1" applyAlignment="1">
      <alignment vertical="top" wrapText="1"/>
    </xf>
    <xf numFmtId="1" fontId="10" fillId="0" borderId="0" xfId="0" applyNumberFormat="1" applyFont="1" applyAlignment="1">
      <alignment vertical="top" wrapText="1"/>
    </xf>
    <xf numFmtId="0" fontId="2"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xf>
    <xf numFmtId="0" fontId="0" fillId="0" borderId="4" xfId="0" applyBorder="1" applyAlignment="1">
      <alignment vertical="top" wrapText="1"/>
    </xf>
    <xf numFmtId="0" fontId="0" fillId="0" borderId="3" xfId="0" applyBorder="1"/>
    <xf numFmtId="0" fontId="3" fillId="2" borderId="0" xfId="0" applyFont="1" applyFill="1" applyAlignment="1">
      <alignment horizontal="left"/>
    </xf>
    <xf numFmtId="0" fontId="1" fillId="2" borderId="6" xfId="0" applyFont="1" applyFill="1" applyBorder="1" applyAlignment="1">
      <alignment horizontal="center" vertical="center"/>
    </xf>
    <xf numFmtId="0" fontId="6" fillId="0" borderId="0" xfId="0" applyFont="1" applyAlignment="1">
      <alignment horizontal="left"/>
    </xf>
  </cellXfs>
  <cellStyles count="2">
    <cellStyle name="Hi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pt-BR" sz="1600" b="1" i="0" u="none">
                <a:solidFill>
                  <a:schemeClr val="tx1">
                    <a:lumMod val="65000"/>
                    <a:lumOff val="35000"/>
                  </a:schemeClr>
                </a:solidFill>
                <a:latin typeface="+mn-lt"/>
                <a:ea typeface="+mn-lt"/>
                <a:cs typeface="+mn-lt"/>
              </a:rPr>
              <a:t>Distribuição por base</a:t>
            </a:r>
          </a:p>
        </c:rich>
      </c:tx>
      <c:overlay val="0"/>
    </c:title>
    <c:autoTitleDeleted val="0"/>
    <c:plotArea>
      <c:layout/>
      <c:barChart>
        <c:barDir val="col"/>
        <c:grouping val="clustered"/>
        <c:varyColors val="1"/>
        <c:ser>
          <c:idx val="0"/>
          <c:order val="0"/>
          <c:tx>
            <c:strRef>
              <c:f>'Estatísticas da Revisão'!$B$5</c:f>
              <c:strCache>
                <c:ptCount val="1"/>
                <c:pt idx="0">
                  <c:v>Primários</c:v>
                </c:pt>
              </c:strCache>
            </c:strRef>
          </c:tx>
          <c:spPr>
            <a:solidFill>
              <a:srgbClr val="4F81BD"/>
            </a:solidFill>
            <a:ln>
              <a:noFill/>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'Estatísticas da Revisão'!$A$6:$A$8</c:f>
              <c:strCache>
                <c:ptCount val="3"/>
                <c:pt idx="0">
                  <c:v>IEEE Xplore</c:v>
                </c:pt>
                <c:pt idx="1">
                  <c:v>ACM Digital Library</c:v>
                </c:pt>
                <c:pt idx="2">
                  <c:v>Web of Science</c:v>
                </c:pt>
              </c:strCache>
            </c:strRef>
          </c:cat>
          <c:val>
            <c:numRef>
              <c:f>'Estatísticas da Revisão'!$B$6:$B$8</c:f>
              <c:numCache>
                <c:formatCode>General</c:formatCode>
                <c:ptCount val="3"/>
                <c:pt idx="0">
                  <c:v>120</c:v>
                </c:pt>
                <c:pt idx="1">
                  <c:v>120</c:v>
                </c:pt>
                <c:pt idx="2">
                  <c:v>85</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2476-4DF2-881C-A27C183A2B10}"/>
            </c:ext>
          </c:extLst>
        </c:ser>
        <c:ser>
          <c:idx val="1"/>
          <c:order val="1"/>
          <c:tx>
            <c:strRef>
              <c:f>'Estatísticas da Revisão'!$C$5</c:f>
              <c:strCache>
                <c:ptCount val="1"/>
                <c:pt idx="0">
                  <c:v>Secundários</c:v>
                </c:pt>
              </c:strCache>
            </c:strRef>
          </c:tx>
          <c:spPr>
            <a:solidFill>
              <a:srgbClr val="C0504D"/>
            </a:solidFill>
            <a:ln>
              <a:noFill/>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'Estatísticas da Revisão'!$A$6:$A$8</c:f>
              <c:strCache>
                <c:ptCount val="3"/>
                <c:pt idx="0">
                  <c:v>IEEE Xplore</c:v>
                </c:pt>
                <c:pt idx="1">
                  <c:v>ACM Digital Library</c:v>
                </c:pt>
                <c:pt idx="2">
                  <c:v>Web of Science</c:v>
                </c:pt>
              </c:strCache>
            </c:strRef>
          </c:cat>
          <c:val>
            <c:numRef>
              <c:f>'Estatísticas da Revisão'!$C$6:$C$8</c:f>
              <c:numCache>
                <c:formatCode>General</c:formatCode>
                <c:ptCount val="3"/>
                <c:pt idx="0">
                  <c:v>17</c:v>
                </c:pt>
                <c:pt idx="1">
                  <c:v>75</c:v>
                </c:pt>
                <c:pt idx="2">
                  <c:v>19</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1-2476-4DF2-881C-A27C183A2B10}"/>
            </c:ext>
          </c:extLst>
        </c:ser>
        <c:dLbls>
          <c:dLblPos val="outEnd"/>
          <c:showLegendKey val="0"/>
          <c:showVal val="1"/>
          <c:showCatName val="0"/>
          <c:showSerName val="0"/>
          <c:showPercent val="0"/>
          <c:showBubbleSize val="0"/>
        </c:dLbls>
        <c:gapWidth val="444"/>
        <c:overlap val="-90"/>
        <c:axId val="48650112"/>
        <c:axId val="48672768"/>
      </c:barChart>
      <c:catAx>
        <c:axId val="48650112"/>
        <c:scaling>
          <c:orientation val="minMax"/>
        </c:scaling>
        <c:delete val="0"/>
        <c:axPos val="b"/>
        <c:majorGridlines>
          <c:spPr>
            <a:ln w="9525">
              <a:solidFill>
                <a:schemeClr val="tx1">
                  <a:lumMod val="15000"/>
                  <a:lumOff val="85000"/>
                </a:schemeClr>
              </a:solidFill>
            </a:ln>
          </c:spPr>
        </c:majorGridlines>
        <c:numFmt formatCode="General" sourceLinked="1"/>
        <c:majorTickMark val="none"/>
        <c:minorTickMark val="none"/>
        <c:tickLblPos val="nextTo"/>
        <c:spPr>
          <a:ln w="9525">
            <a:solidFill>
              <a:schemeClr val="tx1">
                <a:lumMod val="15000"/>
                <a:lumOff val="85000"/>
              </a:schemeClr>
            </a:solidFill>
          </a:ln>
        </c:spPr>
        <c:txPr>
          <a:bodyPr rot="-60000000" vert="horz" anchor="ctr" anchorCtr="1"/>
          <a:lstStyle/>
          <a:p>
            <a:pPr>
              <a:defRPr sz="800" b="0" i="0" u="none">
                <a:solidFill>
                  <a:schemeClr val="tx1">
                    <a:lumMod val="65000"/>
                    <a:lumOff val="35000"/>
                  </a:schemeClr>
                </a:solidFill>
                <a:latin typeface="+mn-lt"/>
                <a:ea typeface="+mn-lt"/>
                <a:cs typeface="+mn-lt"/>
              </a:defRPr>
            </a:pPr>
            <a:endParaRPr lang="pt-BR"/>
          </a:p>
        </c:txPr>
        <c:crossAx val="48672768"/>
        <c:crosses val="autoZero"/>
        <c:auto val="1"/>
        <c:lblAlgn val="ctr"/>
        <c:lblOffset val="100"/>
        <c:noMultiLvlLbl val="0"/>
      </c:catAx>
      <c:valAx>
        <c:axId val="48672768"/>
        <c:scaling>
          <c:orientation val="minMax"/>
        </c:scaling>
        <c:delete val="1"/>
        <c:axPos val="l"/>
        <c:title>
          <c:tx>
            <c:rich>
              <a:bodyPr/>
              <a:lstStyle/>
              <a:p>
                <a:r>
                  <a:rPr lang="pt-BR"/>
                  <a:t>Quantidade</a:t>
                </a:r>
              </a:p>
            </c:rich>
          </c:tx>
          <c:overlay val="0"/>
        </c:title>
        <c:numFmt formatCode="General" sourceLinked="1"/>
        <c:majorTickMark val="none"/>
        <c:minorTickMark val="none"/>
        <c:tickLblPos val="nextTo"/>
        <c:crossAx val="48650112"/>
        <c:crosses val="autoZero"/>
        <c:crossBetween val="between"/>
      </c:valAx>
    </c:plotArea>
    <c:legend>
      <c:legendPos val="t"/>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pt-BR"/>
        </a:p>
      </c:txPr>
    </c:legend>
    <c:plotVisOnly val="1"/>
    <c:dispBlanksAs val="zero"/>
    <c:showDLblsOverMax val="1"/>
  </c:chart>
  <c:spPr>
    <a:solidFill>
      <a:schemeClr val="lt1"/>
    </a:solidFill>
    <a:ln w="9525">
      <a:solidFill>
        <a:schemeClr val="tx1">
          <a:lumMod val="15000"/>
          <a:lumOff val="85000"/>
        </a:schemeClr>
      </a:solidFill>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pt-BR" sz="1600" b="0" i="0" u="none">
                <a:solidFill>
                  <a:schemeClr val="tx1">
                    <a:lumMod val="65000"/>
                    <a:lumOff val="35000"/>
                  </a:schemeClr>
                </a:solidFill>
                <a:latin typeface="+mj-lt"/>
                <a:ea typeface="+mj-lt"/>
                <a:cs typeface="+mj-lt"/>
              </a:rPr>
              <a:t>Distribuição por ano</a:t>
            </a:r>
          </a:p>
        </c:rich>
      </c:tx>
      <c:overlay val="0"/>
    </c:title>
    <c:autoTitleDeleted val="0"/>
    <c:plotArea>
      <c:layout/>
      <c:barChart>
        <c:barDir val="col"/>
        <c:grouping val="clustered"/>
        <c:varyColors val="1"/>
        <c:ser>
          <c:idx val="0"/>
          <c:order val="0"/>
          <c:tx>
            <c:strRef>
              <c:f>'Estatísticas da Revisão'!$E$14</c:f>
              <c:strCache>
                <c:ptCount val="1"/>
                <c:pt idx="0">
                  <c:v>Quantidade</c:v>
                </c:pt>
              </c:strCache>
            </c:strRef>
          </c:tx>
          <c:invertIfNegative val="1"/>
          <c:dPt>
            <c:idx val="0"/>
            <c:invertIfNegative val="1"/>
            <c:bubble3D val="0"/>
            <c:spPr>
              <a:solidFill>
                <a:schemeClr val="accent1">
                  <a:alpha val="70000"/>
                </a:schemeClr>
              </a:solidFill>
              <a:ln>
                <a:noFill/>
              </a:ln>
            </c:spPr>
            <c:extLst>
              <c:ext xmlns:c16="http://schemas.microsoft.com/office/drawing/2014/chart" uri="{C3380CC4-5D6E-409C-BE32-E72D297353CC}">
                <c16:uniqueId val="{00000001-3B1E-417D-A8D5-02F8F5541354}"/>
              </c:ext>
            </c:extLst>
          </c:dPt>
          <c:dPt>
            <c:idx val="1"/>
            <c:invertIfNegative val="1"/>
            <c:bubble3D val="0"/>
            <c:spPr>
              <a:solidFill>
                <a:schemeClr val="accent2">
                  <a:alpha val="70000"/>
                </a:schemeClr>
              </a:solidFill>
              <a:ln>
                <a:noFill/>
              </a:ln>
            </c:spPr>
            <c:extLst>
              <c:ext xmlns:c16="http://schemas.microsoft.com/office/drawing/2014/chart" uri="{C3380CC4-5D6E-409C-BE32-E72D297353CC}">
                <c16:uniqueId val="{00000003-3B1E-417D-A8D5-02F8F5541354}"/>
              </c:ext>
            </c:extLst>
          </c:dPt>
          <c:dPt>
            <c:idx val="2"/>
            <c:invertIfNegative val="1"/>
            <c:bubble3D val="0"/>
            <c:spPr>
              <a:solidFill>
                <a:schemeClr val="accent3">
                  <a:alpha val="70000"/>
                </a:schemeClr>
              </a:solidFill>
              <a:ln>
                <a:noFill/>
              </a:ln>
            </c:spPr>
            <c:extLst>
              <c:ext xmlns:c16="http://schemas.microsoft.com/office/drawing/2014/chart" uri="{C3380CC4-5D6E-409C-BE32-E72D297353CC}">
                <c16:uniqueId val="{00000005-3B1E-417D-A8D5-02F8F5541354}"/>
              </c:ext>
            </c:extLst>
          </c:dPt>
          <c:dPt>
            <c:idx val="3"/>
            <c:invertIfNegative val="1"/>
            <c:bubble3D val="0"/>
            <c:spPr>
              <a:solidFill>
                <a:schemeClr val="accent4">
                  <a:alpha val="70000"/>
                </a:schemeClr>
              </a:solidFill>
              <a:ln>
                <a:noFill/>
              </a:ln>
            </c:spPr>
            <c:extLst>
              <c:ext xmlns:c16="http://schemas.microsoft.com/office/drawing/2014/chart" uri="{C3380CC4-5D6E-409C-BE32-E72D297353CC}">
                <c16:uniqueId val="{00000007-3B1E-417D-A8D5-02F8F5541354}"/>
              </c:ext>
            </c:extLst>
          </c:dPt>
          <c:dPt>
            <c:idx val="4"/>
            <c:invertIfNegative val="1"/>
            <c:bubble3D val="0"/>
            <c:spPr>
              <a:solidFill>
                <a:schemeClr val="accent5">
                  <a:alpha val="70000"/>
                </a:schemeClr>
              </a:solidFill>
              <a:ln>
                <a:noFill/>
              </a:ln>
            </c:spPr>
            <c:extLst>
              <c:ext xmlns:c16="http://schemas.microsoft.com/office/drawing/2014/chart" uri="{C3380CC4-5D6E-409C-BE32-E72D297353CC}">
                <c16:uniqueId val="{00000009-3B1E-417D-A8D5-02F8F5541354}"/>
              </c:ext>
            </c:extLst>
          </c:dPt>
          <c:dPt>
            <c:idx val="5"/>
            <c:invertIfNegative val="1"/>
            <c:bubble3D val="0"/>
            <c:spPr>
              <a:solidFill>
                <a:schemeClr val="accent6">
                  <a:alpha val="70000"/>
                </a:schemeClr>
              </a:solidFill>
              <a:ln>
                <a:noFill/>
              </a:ln>
            </c:spPr>
            <c:extLst>
              <c:ext xmlns:c16="http://schemas.microsoft.com/office/drawing/2014/chart" uri="{C3380CC4-5D6E-409C-BE32-E72D297353CC}">
                <c16:uniqueId val="{0000000B-3B1E-417D-A8D5-02F8F5541354}"/>
              </c:ext>
            </c:extLst>
          </c:dPt>
          <c:dPt>
            <c:idx val="6"/>
            <c:invertIfNegative val="1"/>
            <c:bubble3D val="0"/>
            <c:spPr>
              <a:solidFill>
                <a:schemeClr val="accent1">
                  <a:lumMod val="60000"/>
                  <a:alpha val="70000"/>
                </a:schemeClr>
              </a:solidFill>
              <a:ln>
                <a:noFill/>
              </a:ln>
            </c:spPr>
            <c:extLst>
              <c:ext xmlns:c16="http://schemas.microsoft.com/office/drawing/2014/chart" uri="{C3380CC4-5D6E-409C-BE32-E72D297353CC}">
                <c16:uniqueId val="{0000000D-3B1E-417D-A8D5-02F8F5541354}"/>
              </c:ext>
            </c:extLst>
          </c:dPt>
          <c:dPt>
            <c:idx val="7"/>
            <c:invertIfNegative val="1"/>
            <c:bubble3D val="0"/>
            <c:spPr>
              <a:solidFill>
                <a:schemeClr val="accent2">
                  <a:lumMod val="60000"/>
                  <a:alpha val="70000"/>
                </a:schemeClr>
              </a:solidFill>
              <a:ln>
                <a:noFill/>
              </a:ln>
            </c:spPr>
            <c:extLst>
              <c:ext xmlns:c16="http://schemas.microsoft.com/office/drawing/2014/chart" uri="{C3380CC4-5D6E-409C-BE32-E72D297353CC}">
                <c16:uniqueId val="{0000000F-3B1E-417D-A8D5-02F8F5541354}"/>
              </c:ext>
            </c:extLst>
          </c:dPt>
          <c:dPt>
            <c:idx val="8"/>
            <c:invertIfNegative val="1"/>
            <c:bubble3D val="0"/>
            <c:spPr>
              <a:solidFill>
                <a:schemeClr val="accent3">
                  <a:lumMod val="60000"/>
                  <a:alpha val="70000"/>
                </a:schemeClr>
              </a:solidFill>
              <a:ln>
                <a:noFill/>
              </a:ln>
            </c:spPr>
            <c:extLst>
              <c:ext xmlns:c16="http://schemas.microsoft.com/office/drawing/2014/chart" uri="{C3380CC4-5D6E-409C-BE32-E72D297353CC}">
                <c16:uniqueId val="{00000011-3B1E-417D-A8D5-02F8F5541354}"/>
              </c:ext>
            </c:extLst>
          </c:dPt>
          <c:dPt>
            <c:idx val="9"/>
            <c:invertIfNegative val="1"/>
            <c:bubble3D val="0"/>
            <c:spPr>
              <a:solidFill>
                <a:schemeClr val="accent4">
                  <a:lumMod val="60000"/>
                  <a:alpha val="70000"/>
                </a:schemeClr>
              </a:solidFill>
              <a:ln>
                <a:noFill/>
              </a:ln>
            </c:spPr>
            <c:extLst>
              <c:ext xmlns:c16="http://schemas.microsoft.com/office/drawing/2014/chart" uri="{C3380CC4-5D6E-409C-BE32-E72D297353CC}">
                <c16:uniqueId val="{00000013-3B1E-417D-A8D5-02F8F5541354}"/>
              </c:ext>
            </c:extLst>
          </c:dPt>
          <c:dPt>
            <c:idx val="10"/>
            <c:invertIfNegative val="1"/>
            <c:bubble3D val="0"/>
            <c:spPr>
              <a:solidFill>
                <a:schemeClr val="accent5">
                  <a:lumMod val="60000"/>
                  <a:alpha val="70000"/>
                </a:schemeClr>
              </a:solidFill>
              <a:ln>
                <a:noFill/>
              </a:ln>
            </c:spPr>
            <c:extLst>
              <c:ext xmlns:c16="http://schemas.microsoft.com/office/drawing/2014/chart" uri="{C3380CC4-5D6E-409C-BE32-E72D297353CC}">
                <c16:uniqueId val="{00000015-3B1E-417D-A8D5-02F8F5541354}"/>
              </c:ext>
            </c:extLst>
          </c:dPt>
          <c:dPt>
            <c:idx val="11"/>
            <c:invertIfNegative val="1"/>
            <c:bubble3D val="0"/>
            <c:spPr>
              <a:solidFill>
                <a:schemeClr val="accent6">
                  <a:lumMod val="60000"/>
                  <a:alpha val="70000"/>
                </a:schemeClr>
              </a:solidFill>
              <a:ln>
                <a:noFill/>
              </a:ln>
            </c:spPr>
            <c:extLst>
              <c:ext xmlns:c16="http://schemas.microsoft.com/office/drawing/2014/chart" uri="{C3380CC4-5D6E-409C-BE32-E72D297353CC}">
                <c16:uniqueId val="{00000017-3B1E-417D-A8D5-02F8F5541354}"/>
              </c:ext>
            </c:extLst>
          </c:dPt>
          <c:dPt>
            <c:idx val="12"/>
            <c:invertIfNegative val="1"/>
            <c:bubble3D val="0"/>
            <c:spPr>
              <a:solidFill>
                <a:schemeClr val="accent1">
                  <a:lumMod val="80000"/>
                  <a:lumOff val="20000"/>
                  <a:alpha val="70000"/>
                </a:schemeClr>
              </a:solidFill>
              <a:ln>
                <a:noFill/>
              </a:ln>
            </c:spPr>
            <c:extLst>
              <c:ext xmlns:c16="http://schemas.microsoft.com/office/drawing/2014/chart" uri="{C3380CC4-5D6E-409C-BE32-E72D297353CC}">
                <c16:uniqueId val="{00000019-3B1E-417D-A8D5-02F8F5541354}"/>
              </c:ext>
            </c:extLst>
          </c:dPt>
          <c:dPt>
            <c:idx val="13"/>
            <c:invertIfNegative val="1"/>
            <c:bubble3D val="0"/>
            <c:spPr>
              <a:solidFill>
                <a:schemeClr val="accent2">
                  <a:lumMod val="80000"/>
                  <a:lumOff val="20000"/>
                  <a:alpha val="70000"/>
                </a:schemeClr>
              </a:solidFill>
              <a:ln>
                <a:noFill/>
              </a:ln>
            </c:spPr>
            <c:extLst>
              <c:ext xmlns:c16="http://schemas.microsoft.com/office/drawing/2014/chart" uri="{C3380CC4-5D6E-409C-BE32-E72D297353CC}">
                <c16:uniqueId val="{0000001B-3B1E-417D-A8D5-02F8F5541354}"/>
              </c:ext>
            </c:extLst>
          </c:dPt>
          <c:dPt>
            <c:idx val="14"/>
            <c:invertIfNegative val="1"/>
            <c:bubble3D val="0"/>
            <c:spPr>
              <a:solidFill>
                <a:schemeClr val="accent3">
                  <a:lumMod val="80000"/>
                  <a:lumOff val="20000"/>
                  <a:alpha val="70000"/>
                </a:schemeClr>
              </a:solidFill>
              <a:ln>
                <a:noFill/>
              </a:ln>
            </c:spPr>
            <c:extLst>
              <c:ext xmlns:c16="http://schemas.microsoft.com/office/drawing/2014/chart" uri="{C3380CC4-5D6E-409C-BE32-E72D297353CC}">
                <c16:uniqueId val="{0000001D-3B1E-417D-A8D5-02F8F5541354}"/>
              </c:ext>
            </c:extLst>
          </c:dPt>
          <c:dPt>
            <c:idx val="15"/>
            <c:invertIfNegative val="1"/>
            <c:bubble3D val="0"/>
            <c:spPr>
              <a:solidFill>
                <a:schemeClr val="accent4">
                  <a:lumMod val="80000"/>
                  <a:lumOff val="20000"/>
                  <a:alpha val="70000"/>
                </a:schemeClr>
              </a:solidFill>
              <a:ln>
                <a:noFill/>
              </a:ln>
            </c:spPr>
            <c:extLst>
              <c:ext xmlns:c16="http://schemas.microsoft.com/office/drawing/2014/chart" uri="{C3380CC4-5D6E-409C-BE32-E72D297353CC}">
                <c16:uniqueId val="{0000001F-3B1E-417D-A8D5-02F8F5541354}"/>
              </c:ext>
            </c:extLst>
          </c:dPt>
          <c:dPt>
            <c:idx val="16"/>
            <c:invertIfNegative val="1"/>
            <c:bubble3D val="0"/>
            <c:spPr>
              <a:solidFill>
                <a:schemeClr val="accent5">
                  <a:lumMod val="80000"/>
                  <a:lumOff val="20000"/>
                  <a:alpha val="70000"/>
                </a:schemeClr>
              </a:solidFill>
              <a:ln>
                <a:noFill/>
              </a:ln>
            </c:spPr>
            <c:extLst>
              <c:ext xmlns:c16="http://schemas.microsoft.com/office/drawing/2014/chart" uri="{C3380CC4-5D6E-409C-BE32-E72D297353CC}">
                <c16:uniqueId val="{00000021-3B1E-417D-A8D5-02F8F5541354}"/>
              </c:ext>
            </c:extLst>
          </c:dPt>
          <c:dPt>
            <c:idx val="17"/>
            <c:invertIfNegative val="1"/>
            <c:bubble3D val="0"/>
            <c:spPr>
              <a:solidFill>
                <a:schemeClr val="accent6">
                  <a:lumMod val="80000"/>
                  <a:lumOff val="20000"/>
                  <a:alpha val="70000"/>
                </a:schemeClr>
              </a:solidFill>
              <a:ln>
                <a:noFill/>
              </a:ln>
            </c:spPr>
            <c:extLst>
              <c:ext xmlns:c16="http://schemas.microsoft.com/office/drawing/2014/chart" uri="{C3380CC4-5D6E-409C-BE32-E72D297353CC}">
                <c16:uniqueId val="{00000023-3B1E-417D-A8D5-02F8F5541354}"/>
              </c:ext>
            </c:extLst>
          </c:dPt>
          <c:dPt>
            <c:idx val="18"/>
            <c:invertIfNegative val="1"/>
            <c:bubble3D val="0"/>
            <c:spPr>
              <a:solidFill>
                <a:schemeClr val="accent1">
                  <a:lumMod val="80000"/>
                  <a:alpha val="70000"/>
                </a:schemeClr>
              </a:solidFill>
              <a:ln>
                <a:noFill/>
              </a:ln>
            </c:spPr>
            <c:extLst>
              <c:ext xmlns:c16="http://schemas.microsoft.com/office/drawing/2014/chart" uri="{C3380CC4-5D6E-409C-BE32-E72D297353CC}">
                <c16:uniqueId val="{00000025-3B1E-417D-A8D5-02F8F5541354}"/>
              </c:ext>
            </c:extLst>
          </c:dPt>
          <c:dPt>
            <c:idx val="19"/>
            <c:invertIfNegative val="1"/>
            <c:bubble3D val="0"/>
            <c:spPr>
              <a:solidFill>
                <a:schemeClr val="accent2">
                  <a:lumMod val="80000"/>
                  <a:alpha val="70000"/>
                </a:schemeClr>
              </a:solidFill>
              <a:ln>
                <a:noFill/>
              </a:ln>
            </c:spPr>
            <c:extLst>
              <c:ext xmlns:c16="http://schemas.microsoft.com/office/drawing/2014/chart" uri="{C3380CC4-5D6E-409C-BE32-E72D297353CC}">
                <c16:uniqueId val="{00000027-3B1E-417D-A8D5-02F8F5541354}"/>
              </c:ext>
            </c:extLst>
          </c:dPt>
          <c:dPt>
            <c:idx val="20"/>
            <c:invertIfNegative val="1"/>
            <c:bubble3D val="0"/>
            <c:spPr>
              <a:solidFill>
                <a:schemeClr val="accent3">
                  <a:lumMod val="80000"/>
                  <a:alpha val="70000"/>
                </a:schemeClr>
              </a:solidFill>
              <a:ln>
                <a:noFill/>
              </a:ln>
            </c:spPr>
            <c:extLst>
              <c:ext xmlns:c16="http://schemas.microsoft.com/office/drawing/2014/chart" uri="{C3380CC4-5D6E-409C-BE32-E72D297353CC}">
                <c16:uniqueId val="{00000029-3B1E-417D-A8D5-02F8F5541354}"/>
              </c:ext>
            </c:extLst>
          </c:dPt>
          <c:dPt>
            <c:idx val="21"/>
            <c:invertIfNegative val="1"/>
            <c:bubble3D val="0"/>
            <c:spPr>
              <a:solidFill>
                <a:schemeClr val="accent4">
                  <a:lumMod val="80000"/>
                  <a:alpha val="70000"/>
                </a:schemeClr>
              </a:solidFill>
              <a:ln>
                <a:noFill/>
              </a:ln>
            </c:spPr>
            <c:extLst>
              <c:ext xmlns:c16="http://schemas.microsoft.com/office/drawing/2014/chart" uri="{C3380CC4-5D6E-409C-BE32-E72D297353CC}">
                <c16:uniqueId val="{0000002B-3B1E-417D-A8D5-02F8F5541354}"/>
              </c:ext>
            </c:extLst>
          </c:dPt>
          <c:dPt>
            <c:idx val="22"/>
            <c:invertIfNegative val="1"/>
            <c:bubble3D val="0"/>
            <c:spPr>
              <a:solidFill>
                <a:schemeClr val="accent5">
                  <a:lumMod val="80000"/>
                  <a:alpha val="70000"/>
                </a:schemeClr>
              </a:solidFill>
              <a:ln>
                <a:noFill/>
              </a:ln>
            </c:spPr>
            <c:extLst>
              <c:ext xmlns:c16="http://schemas.microsoft.com/office/drawing/2014/chart" uri="{C3380CC4-5D6E-409C-BE32-E72D297353CC}">
                <c16:uniqueId val="{0000002D-3B1E-417D-A8D5-02F8F5541354}"/>
              </c:ext>
            </c:extLst>
          </c:dPt>
          <c:cat>
            <c:numRef>
              <c:f>'Estatísticas da Revisão'!$D$15:$D$37</c:f>
              <c:numCache>
                <c:formatCode>General</c:formatCode>
                <c:ptCount val="23"/>
                <c:pt idx="0">
                  <c:v>1993</c:v>
                </c:pt>
                <c:pt idx="1">
                  <c:v>2002</c:v>
                </c:pt>
                <c:pt idx="2">
                  <c:v>2003</c:v>
                </c:pt>
                <c:pt idx="3">
                  <c:v>2006</c:v>
                </c:pt>
                <c:pt idx="4">
                  <c:v>2007</c:v>
                </c:pt>
                <c:pt idx="5">
                  <c:v>2008</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'Estatísticas da Revisão'!$E$15:$E$37</c:f>
              <c:numCache>
                <c:formatCode>General</c:formatCode>
                <c:ptCount val="23"/>
                <c:pt idx="0">
                  <c:v>2</c:v>
                </c:pt>
                <c:pt idx="1">
                  <c:v>2</c:v>
                </c:pt>
                <c:pt idx="2">
                  <c:v>1</c:v>
                </c:pt>
                <c:pt idx="3">
                  <c:v>1</c:v>
                </c:pt>
                <c:pt idx="4">
                  <c:v>2</c:v>
                </c:pt>
                <c:pt idx="5">
                  <c:v>3</c:v>
                </c:pt>
                <c:pt idx="6">
                  <c:v>4</c:v>
                </c:pt>
                <c:pt idx="7">
                  <c:v>3</c:v>
                </c:pt>
                <c:pt idx="8">
                  <c:v>1</c:v>
                </c:pt>
                <c:pt idx="9">
                  <c:v>4</c:v>
                </c:pt>
                <c:pt idx="10">
                  <c:v>5</c:v>
                </c:pt>
                <c:pt idx="11">
                  <c:v>3</c:v>
                </c:pt>
                <c:pt idx="12">
                  <c:v>6</c:v>
                </c:pt>
                <c:pt idx="13">
                  <c:v>6</c:v>
                </c:pt>
                <c:pt idx="14">
                  <c:v>4</c:v>
                </c:pt>
                <c:pt idx="15">
                  <c:v>3</c:v>
                </c:pt>
                <c:pt idx="16">
                  <c:v>2</c:v>
                </c:pt>
                <c:pt idx="17">
                  <c:v>2</c:v>
                </c:pt>
                <c:pt idx="18">
                  <c:v>5</c:v>
                </c:pt>
                <c:pt idx="19">
                  <c:v>8</c:v>
                </c:pt>
                <c:pt idx="20">
                  <c:v>39</c:v>
                </c:pt>
                <c:pt idx="21">
                  <c:v>184</c:v>
                </c:pt>
                <c:pt idx="22">
                  <c:v>35</c:v>
                </c:pt>
              </c:numCache>
            </c:numRef>
          </c:val>
          <c:extLst>
            <c:ext xmlns:c16="http://schemas.microsoft.com/office/drawing/2014/chart" uri="{C3380CC4-5D6E-409C-BE32-E72D297353CC}">
              <c16:uniqueId val="{0000002E-3B1E-417D-A8D5-02F8F5541354}"/>
            </c:ext>
          </c:extLst>
        </c:ser>
        <c:dLbls>
          <c:showLegendKey val="0"/>
          <c:showVal val="0"/>
          <c:showCatName val="0"/>
          <c:showSerName val="0"/>
          <c:showPercent val="0"/>
          <c:showBubbleSize val="0"/>
        </c:dLbls>
        <c:gapWidth val="80"/>
        <c:overlap val="25"/>
        <c:axId val="48650112"/>
        <c:axId val="48672768"/>
      </c:barChart>
      <c:catAx>
        <c:axId val="48650112"/>
        <c:scaling>
          <c:orientation val="minMax"/>
        </c:scaling>
        <c:delete val="0"/>
        <c:axPos val="b"/>
        <c:numFmt formatCode="General" sourceLinked="1"/>
        <c:majorTickMark val="none"/>
        <c:minorTickMark val="none"/>
        <c:tickLblPos val="nextTo"/>
        <c:spPr>
          <a:ln w="15875">
            <a:solidFill>
              <a:schemeClr val="tx1">
                <a:lumMod val="25000"/>
                <a:lumOff val="7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pt-BR"/>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5000"/>
                  <a:lumOff val="95000"/>
                </a:schemeClr>
              </a:solidFill>
            </a:ln>
          </c:spPr>
        </c:majorGridlines>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pt-BR"/>
          </a:p>
        </c:txPr>
        <c:crossAx val="48650112"/>
        <c:crosses val="autoZero"/>
        <c:crossBetween val="between"/>
      </c:valAx>
    </c:plotArea>
    <c:legend>
      <c:legendPos val="b"/>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pt-BR"/>
        </a:p>
      </c:txPr>
    </c:legend>
    <c:plotVisOnly val="1"/>
    <c:dispBlanksAs val="zero"/>
    <c:showDLblsOverMax val="1"/>
  </c:chart>
  <c:spPr>
    <a:solidFill>
      <a:schemeClr val="lt1"/>
    </a:solidFill>
    <a:ln w="9525">
      <a:solidFill>
        <a:schemeClr val="tx1">
          <a:lumMod val="15000"/>
          <a:lumOff val="85000"/>
        </a:schemeClr>
      </a:solidFill>
    </a:ln>
  </c:sp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pt-BR" sz="1400" b="1" i="0" u="none">
                <a:solidFill>
                  <a:schemeClr val="tx1">
                    <a:lumMod val="65000"/>
                    <a:lumOff val="35000"/>
                  </a:schemeClr>
                </a:solidFill>
                <a:latin typeface="+mn-lt"/>
                <a:ea typeface="+mn-lt"/>
                <a:cs typeface="+mn-lt"/>
              </a:rPr>
              <a:t>Cobertura das Questões de Pesquisa</a:t>
            </a:r>
          </a:p>
        </c:rich>
      </c:tx>
      <c:overlay val="0"/>
    </c:title>
    <c:autoTitleDeleted val="0"/>
    <c:plotArea>
      <c:layout/>
      <c:barChart>
        <c:barDir val="bar"/>
        <c:grouping val="clustered"/>
        <c:varyColors val="1"/>
        <c:ser>
          <c:idx val="0"/>
          <c:order val="0"/>
          <c:tx>
            <c:strRef>
              <c:f>'Síntese Questões Pesquisa'!$B$6</c:f>
              <c:strCache>
                <c:ptCount val="1"/>
                <c:pt idx="0">
                  <c:v>Artigos que respondem</c:v>
                </c:pt>
              </c:strCache>
            </c:strRef>
          </c:tx>
          <c:invertIfNegative val="1"/>
          <c:dPt>
            <c:idx val="0"/>
            <c:invertIfNegative val="1"/>
            <c:bubble3D val="0"/>
            <c:spPr>
              <a:gradFill>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a:gradFill>
              <a:ln>
                <a:noFill/>
              </a:ln>
            </c:spPr>
            <c:extLst>
              <c:ext xmlns:c16="http://schemas.microsoft.com/office/drawing/2014/chart" uri="{C3380CC4-5D6E-409C-BE32-E72D297353CC}">
                <c16:uniqueId val="{00000001-8B8B-42D9-A797-2AFEBD90F3A8}"/>
              </c:ext>
            </c:extLst>
          </c:dPt>
          <c:dPt>
            <c:idx val="1"/>
            <c:invertIfNegative val="1"/>
            <c:bubble3D val="0"/>
            <c:spPr>
              <a:gradFill>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a:gradFill>
              <a:ln>
                <a:noFill/>
              </a:ln>
            </c:spPr>
            <c:extLst>
              <c:ext xmlns:c16="http://schemas.microsoft.com/office/drawing/2014/chart" uri="{C3380CC4-5D6E-409C-BE32-E72D297353CC}">
                <c16:uniqueId val="{00000003-8B8B-42D9-A797-2AFEBD90F3A8}"/>
              </c:ext>
            </c:extLst>
          </c:dPt>
          <c:dPt>
            <c:idx val="2"/>
            <c:invertIfNegative val="1"/>
            <c:bubble3D val="0"/>
            <c:spPr>
              <a:gradFill>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a:gradFill>
              <a:ln>
                <a:noFill/>
              </a:ln>
            </c:spPr>
            <c:extLst>
              <c:ext xmlns:c16="http://schemas.microsoft.com/office/drawing/2014/chart" uri="{C3380CC4-5D6E-409C-BE32-E72D297353CC}">
                <c16:uniqueId val="{00000005-8B8B-42D9-A797-2AFEBD90F3A8}"/>
              </c:ext>
            </c:extLst>
          </c:dPt>
          <c:dPt>
            <c:idx val="3"/>
            <c:invertIfNegative val="1"/>
            <c:bubble3D val="0"/>
            <c:spPr>
              <a:gradFill>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a:gradFill>
              <a:ln>
                <a:noFill/>
              </a:ln>
            </c:spPr>
            <c:extLst>
              <c:ext xmlns:c16="http://schemas.microsoft.com/office/drawing/2014/chart" uri="{C3380CC4-5D6E-409C-BE32-E72D297353CC}">
                <c16:uniqueId val="{00000007-8B8B-42D9-A797-2AFEBD90F3A8}"/>
              </c:ext>
            </c:extLst>
          </c:dPt>
          <c:dPt>
            <c:idx val="4"/>
            <c:invertIfNegative val="1"/>
            <c:bubble3D val="0"/>
            <c:spPr>
              <a:gradFill>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a:gradFill>
              <a:ln>
                <a:noFill/>
              </a:ln>
            </c:spPr>
            <c:extLst>
              <c:ext xmlns:c16="http://schemas.microsoft.com/office/drawing/2014/chart" uri="{C3380CC4-5D6E-409C-BE32-E72D297353CC}">
                <c16:uniqueId val="{00000009-8B8B-42D9-A797-2AFEBD90F3A8}"/>
              </c:ext>
            </c:extLst>
          </c:dPt>
          <c:dPt>
            <c:idx val="5"/>
            <c:invertIfNegative val="1"/>
            <c:bubble3D val="0"/>
            <c:spPr>
              <a:gradFill>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a:gradFill>
              <a:ln>
                <a:noFill/>
              </a:ln>
            </c:spPr>
            <c:extLst>
              <c:ext xmlns:c16="http://schemas.microsoft.com/office/drawing/2014/chart" uri="{C3380CC4-5D6E-409C-BE32-E72D297353CC}">
                <c16:uniqueId val="{0000000B-8B8B-42D9-A797-2AFEBD90F3A8}"/>
              </c:ext>
            </c:extLst>
          </c:dPt>
          <c:cat>
            <c:strRef>
              <c:f>'Síntese Questões Pesquisa'!$A$7:$A$12</c:f>
              <c:strCache>
                <c:ptCount val="6"/>
                <c:pt idx="0">
                  <c:v>RQ1</c:v>
                </c:pt>
                <c:pt idx="1">
                  <c:v>RQ2</c:v>
                </c:pt>
                <c:pt idx="2">
                  <c:v>RQ3</c:v>
                </c:pt>
                <c:pt idx="3">
                  <c:v>RQ4</c:v>
                </c:pt>
                <c:pt idx="4">
                  <c:v>RQ5</c:v>
                </c:pt>
                <c:pt idx="5">
                  <c:v>RQ6</c:v>
                </c:pt>
              </c:strCache>
            </c:strRef>
          </c:cat>
          <c:val>
            <c:numRef>
              <c:f>'Síntese Questões Pesquisa'!$B$7:$B$12</c:f>
              <c:numCache>
                <c:formatCode>General</c:formatCode>
                <c:ptCount val="6"/>
                <c:pt idx="0">
                  <c:v>38</c:v>
                </c:pt>
                <c:pt idx="1">
                  <c:v>75</c:v>
                </c:pt>
                <c:pt idx="2">
                  <c:v>21</c:v>
                </c:pt>
                <c:pt idx="3">
                  <c:v>123</c:v>
                </c:pt>
                <c:pt idx="4">
                  <c:v>127</c:v>
                </c:pt>
                <c:pt idx="5">
                  <c:v>14</c:v>
                </c:pt>
              </c:numCache>
            </c:numRef>
          </c:val>
          <c:extLst>
            <c:ext xmlns:c16="http://schemas.microsoft.com/office/drawing/2014/chart" uri="{C3380CC4-5D6E-409C-BE32-E72D297353CC}">
              <c16:uniqueId val="{0000000C-8B8B-42D9-A797-2AFEBD90F3A8}"/>
            </c:ext>
          </c:extLst>
        </c:ser>
        <c:dLbls>
          <c:showLegendKey val="0"/>
          <c:showVal val="0"/>
          <c:showCatName val="0"/>
          <c:showSerName val="0"/>
          <c:showPercent val="0"/>
          <c:showBubbleSize val="0"/>
        </c:dLbls>
        <c:gapWidth val="326"/>
        <c:overlap val="-58"/>
        <c:axId val="48650112"/>
        <c:axId val="48672768"/>
      </c:barChart>
      <c:catAx>
        <c:axId val="48650112"/>
        <c:scaling>
          <c:orientation val="minMax"/>
        </c:scaling>
        <c:delete val="0"/>
        <c:axPos val="l"/>
        <c:title>
          <c:tx>
            <c:rich>
              <a:bodyPr/>
              <a:lstStyle/>
              <a:p>
                <a:r>
                  <a:rPr lang="pt-BR" sz="900" b="0" i="0" u="none">
                    <a:solidFill>
                      <a:schemeClr val="tx1">
                        <a:lumMod val="65000"/>
                        <a:lumOff val="35000"/>
                      </a:schemeClr>
                    </a:solidFill>
                    <a:latin typeface="+mn-lt"/>
                    <a:ea typeface="+mn-lt"/>
                    <a:cs typeface="+mn-lt"/>
                  </a:rPr>
                  <a:t>Número de artigos</a:t>
                </a:r>
              </a:p>
            </c:rich>
          </c:tx>
          <c:overlay val="0"/>
        </c:title>
        <c:numFmt formatCode="General" sourceLinked="1"/>
        <c:majorTickMark val="none"/>
        <c:minorTickMark val="none"/>
        <c:tickLblPos val="nextTo"/>
        <c:spPr>
          <a:ln w="19050">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pt-BR"/>
          </a:p>
        </c:txPr>
        <c:crossAx val="48672768"/>
        <c:crosses val="autoZero"/>
        <c:auto val="1"/>
        <c:lblAlgn val="ctr"/>
        <c:lblOffset val="100"/>
        <c:noMultiLvlLbl val="0"/>
      </c:catAx>
      <c:valAx>
        <c:axId val="48672768"/>
        <c:scaling>
          <c:orientation val="minMax"/>
        </c:scaling>
        <c:delete val="0"/>
        <c:axPos val="b"/>
        <c:majorGridlines>
          <c:spPr>
            <a:ln w="9525">
              <a:gradFill>
                <a:gsLst>
                  <a:gs pos="99000">
                    <a:schemeClr val="tx1">
                      <a:lumMod val="25000"/>
                      <a:lumOff val="75000"/>
                    </a:schemeClr>
                  </a:gs>
                  <a:gs pos="0">
                    <a:schemeClr val="tx1">
                      <a:lumMod val="15000"/>
                      <a:lumOff val="85000"/>
                    </a:schemeClr>
                  </a:gs>
                </a:gsLst>
                <a:lin ang="5400000"/>
              </a:gradFill>
            </a:ln>
          </c:spPr>
        </c:majorGridlines>
        <c:title>
          <c:tx>
            <c:rich>
              <a:bodyPr/>
              <a:lstStyle/>
              <a:p>
                <a:r>
                  <a:rPr lang="pt-BR" sz="900" b="0" i="0" u="none">
                    <a:solidFill>
                      <a:schemeClr val="tx1">
                        <a:lumMod val="65000"/>
                        <a:lumOff val="35000"/>
                      </a:schemeClr>
                    </a:solidFill>
                    <a:latin typeface="+mn-lt"/>
                    <a:ea typeface="+mn-lt"/>
                    <a:cs typeface="+mn-lt"/>
                  </a:rPr>
                  <a:t>Questões de Pesquisa</a:t>
                </a:r>
              </a:p>
            </c:rich>
          </c:tx>
          <c:overlay val="0"/>
        </c:title>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pt-BR"/>
          </a:p>
        </c:txPr>
        <c:crossAx val="48650112"/>
        <c:crosses val="autoZero"/>
        <c:crossBetween val="between"/>
      </c:valAx>
    </c:plotArea>
    <c:legend>
      <c:legendPos val="b"/>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pt-BR"/>
        </a:p>
      </c:txPr>
    </c:legend>
    <c:plotVisOnly val="1"/>
    <c:dispBlanksAs val="zero"/>
    <c:showDLblsOverMax val="1"/>
  </c:chart>
  <c:spPr>
    <a:solidFill>
      <a:schemeClr val="bg1"/>
    </a:solidFill>
    <a:ln w="9525">
      <a:solidFill>
        <a:schemeClr val="tx1">
          <a:lumMod val="15000"/>
          <a:lumOff val="85000"/>
        </a:schemeClr>
      </a:solidFill>
    </a:ln>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r>
              <a:rPr lang="pt-BR" sz="1800" b="1" i="0" u="none">
                <a:solidFill>
                  <a:schemeClr val="tx1">
                    <a:lumMod val="65000"/>
                    <a:lumOff val="35000"/>
                  </a:schemeClr>
                </a:solidFill>
                <a:latin typeface="+mn-lt"/>
                <a:ea typeface="+mn-lt"/>
                <a:cs typeface="+mn-lt"/>
              </a:rPr>
              <a:t>Distribuição das Questões por Base</a:t>
            </a:r>
          </a:p>
        </c:rich>
      </c:tx>
      <c:overlay val="0"/>
    </c:title>
    <c:autoTitleDeleted val="0"/>
    <c:plotArea>
      <c:layout/>
      <c:barChart>
        <c:barDir val="bar"/>
        <c:grouping val="clustered"/>
        <c:varyColors val="1"/>
        <c:ser>
          <c:idx val="0"/>
          <c:order val="0"/>
          <c:tx>
            <c:strRef>
              <c:f>'Síntese Questões Pesquisa'!$F$6</c:f>
              <c:strCache>
                <c:ptCount val="1"/>
                <c:pt idx="0">
                  <c:v>RQ1</c:v>
                </c:pt>
              </c:strCache>
            </c:strRef>
          </c:tx>
          <c:spPr>
            <a:gradFill>
              <a:gsLst>
                <a:gs pos="0">
                  <a:schemeClr val="accent1">
                    <a:shade val="50000"/>
                  </a:schemeClr>
                </a:gs>
                <a:gs pos="75000">
                  <a:schemeClr val="accent1">
                    <a:shade val="50000"/>
                    <a:lumMod val="60000"/>
                    <a:lumOff val="40000"/>
                  </a:schemeClr>
                </a:gs>
                <a:gs pos="51000">
                  <a:schemeClr val="accent1">
                    <a:shade val="50000"/>
                    <a:alpha val="75000"/>
                  </a:schemeClr>
                </a:gs>
                <a:gs pos="100000">
                  <a:schemeClr val="accent1">
                    <a:shade val="50000"/>
                    <a:lumMod val="20000"/>
                    <a:lumOff val="80000"/>
                    <a:alpha val="15000"/>
                  </a:schemeClr>
                </a:gs>
              </a:gsLst>
              <a:lin ang="10800000"/>
            </a:gradFill>
            <a:ln>
              <a:noFill/>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'Síntese Questões Pesquisa'!$E$7:$E$9</c:f>
              <c:strCache>
                <c:ptCount val="3"/>
                <c:pt idx="0">
                  <c:v>IEEE Xplore</c:v>
                </c:pt>
                <c:pt idx="1">
                  <c:v>ACM Digital Library</c:v>
                </c:pt>
                <c:pt idx="2">
                  <c:v>Web of Science</c:v>
                </c:pt>
              </c:strCache>
            </c:strRef>
          </c:cat>
          <c:val>
            <c:numRef>
              <c:f>'Síntese Questões Pesquisa'!$F$7:$F$9</c:f>
              <c:numCache>
                <c:formatCode>General</c:formatCode>
                <c:ptCount val="3"/>
                <c:pt idx="0">
                  <c:v>19</c:v>
                </c:pt>
                <c:pt idx="1">
                  <c:v>3</c:v>
                </c:pt>
                <c:pt idx="2">
                  <c:v>16</c:v>
                </c:pt>
              </c:numCache>
            </c:numRef>
          </c:val>
          <c:extLst>
            <c:ext xmlns:c16="http://schemas.microsoft.com/office/drawing/2014/chart" uri="{C3380CC4-5D6E-409C-BE32-E72D297353CC}">
              <c16:uniqueId val="{00000000-72ED-46E7-91ED-9C6BCADEDA15}"/>
            </c:ext>
          </c:extLst>
        </c:ser>
        <c:ser>
          <c:idx val="1"/>
          <c:order val="1"/>
          <c:tx>
            <c:strRef>
              <c:f>'Síntese Questões Pesquisa'!$G$6</c:f>
              <c:strCache>
                <c:ptCount val="1"/>
                <c:pt idx="0">
                  <c:v>RQ2</c:v>
                </c:pt>
              </c:strCache>
            </c:strRef>
          </c:tx>
          <c:spPr>
            <a:gradFill>
              <a:gsLst>
                <a:gs pos="0">
                  <a:schemeClr val="accent1">
                    <a:shade val="70000"/>
                  </a:schemeClr>
                </a:gs>
                <a:gs pos="75000">
                  <a:schemeClr val="accent1">
                    <a:shade val="70000"/>
                    <a:lumMod val="60000"/>
                    <a:lumOff val="40000"/>
                  </a:schemeClr>
                </a:gs>
                <a:gs pos="51000">
                  <a:schemeClr val="accent1">
                    <a:shade val="70000"/>
                    <a:alpha val="75000"/>
                  </a:schemeClr>
                </a:gs>
                <a:gs pos="100000">
                  <a:schemeClr val="accent1">
                    <a:shade val="70000"/>
                    <a:lumMod val="20000"/>
                    <a:lumOff val="80000"/>
                    <a:alpha val="15000"/>
                  </a:schemeClr>
                </a:gs>
              </a:gsLst>
              <a:lin ang="10800000"/>
            </a:gradFill>
            <a:ln>
              <a:noFill/>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'Síntese Questões Pesquisa'!$E$7:$E$9</c:f>
              <c:strCache>
                <c:ptCount val="3"/>
                <c:pt idx="0">
                  <c:v>IEEE Xplore</c:v>
                </c:pt>
                <c:pt idx="1">
                  <c:v>ACM Digital Library</c:v>
                </c:pt>
                <c:pt idx="2">
                  <c:v>Web of Science</c:v>
                </c:pt>
              </c:strCache>
            </c:strRef>
          </c:cat>
          <c:val>
            <c:numRef>
              <c:f>'Síntese Questões Pesquisa'!$G$7:$G$9</c:f>
              <c:numCache>
                <c:formatCode>General</c:formatCode>
                <c:ptCount val="3"/>
                <c:pt idx="0">
                  <c:v>39</c:v>
                </c:pt>
                <c:pt idx="1">
                  <c:v>2</c:v>
                </c:pt>
                <c:pt idx="2">
                  <c:v>34</c:v>
                </c:pt>
              </c:numCache>
            </c:numRef>
          </c:val>
          <c:extLst>
            <c:ext xmlns:c16="http://schemas.microsoft.com/office/drawing/2014/chart" uri="{C3380CC4-5D6E-409C-BE32-E72D297353CC}">
              <c16:uniqueId val="{00000001-72ED-46E7-91ED-9C6BCADEDA15}"/>
            </c:ext>
          </c:extLst>
        </c:ser>
        <c:ser>
          <c:idx val="2"/>
          <c:order val="2"/>
          <c:tx>
            <c:strRef>
              <c:f>'Síntese Questões Pesquisa'!$H$6</c:f>
              <c:strCache>
                <c:ptCount val="1"/>
                <c:pt idx="0">
                  <c:v>RQ3</c:v>
                </c:pt>
              </c:strCache>
            </c:strRef>
          </c:tx>
          <c:spPr>
            <a:gradFill>
              <a:gsLst>
                <a:gs pos="0">
                  <a:schemeClr val="accent1">
                    <a:shade val="90000"/>
                  </a:schemeClr>
                </a:gs>
                <a:gs pos="75000">
                  <a:schemeClr val="accent1">
                    <a:shade val="90000"/>
                    <a:lumMod val="60000"/>
                    <a:lumOff val="40000"/>
                  </a:schemeClr>
                </a:gs>
                <a:gs pos="51000">
                  <a:schemeClr val="accent1">
                    <a:shade val="90000"/>
                    <a:alpha val="75000"/>
                  </a:schemeClr>
                </a:gs>
                <a:gs pos="100000">
                  <a:schemeClr val="accent1">
                    <a:shade val="90000"/>
                    <a:lumMod val="20000"/>
                    <a:lumOff val="80000"/>
                    <a:alpha val="15000"/>
                  </a:schemeClr>
                </a:gs>
              </a:gsLst>
              <a:lin ang="10800000"/>
            </a:gradFill>
            <a:ln>
              <a:noFill/>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'Síntese Questões Pesquisa'!$E$7:$E$9</c:f>
              <c:strCache>
                <c:ptCount val="3"/>
                <c:pt idx="0">
                  <c:v>IEEE Xplore</c:v>
                </c:pt>
                <c:pt idx="1">
                  <c:v>ACM Digital Library</c:v>
                </c:pt>
                <c:pt idx="2">
                  <c:v>Web of Science</c:v>
                </c:pt>
              </c:strCache>
            </c:strRef>
          </c:cat>
          <c:val>
            <c:numRef>
              <c:f>'Síntese Questões Pesquisa'!$H$7:$H$9</c:f>
              <c:numCache>
                <c:formatCode>General</c:formatCode>
                <c:ptCount val="3"/>
                <c:pt idx="0">
                  <c:v>8</c:v>
                </c:pt>
                <c:pt idx="1">
                  <c:v>0</c:v>
                </c:pt>
                <c:pt idx="2">
                  <c:v>13</c:v>
                </c:pt>
              </c:numCache>
            </c:numRef>
          </c:val>
          <c:extLst>
            <c:ext xmlns:c16="http://schemas.microsoft.com/office/drawing/2014/chart" uri="{C3380CC4-5D6E-409C-BE32-E72D297353CC}">
              <c16:uniqueId val="{00000002-72ED-46E7-91ED-9C6BCADEDA15}"/>
            </c:ext>
          </c:extLst>
        </c:ser>
        <c:ser>
          <c:idx val="3"/>
          <c:order val="3"/>
          <c:tx>
            <c:strRef>
              <c:f>'Síntese Questões Pesquisa'!$I$6</c:f>
              <c:strCache>
                <c:ptCount val="1"/>
                <c:pt idx="0">
                  <c:v>RQ4</c:v>
                </c:pt>
              </c:strCache>
            </c:strRef>
          </c:tx>
          <c:spPr>
            <a:gradFill>
              <a:gsLst>
                <a:gs pos="0">
                  <a:schemeClr val="accent1">
                    <a:tint val="90000"/>
                  </a:schemeClr>
                </a:gs>
                <a:gs pos="75000">
                  <a:schemeClr val="accent1">
                    <a:tint val="90000"/>
                    <a:lumMod val="60000"/>
                    <a:lumOff val="40000"/>
                  </a:schemeClr>
                </a:gs>
                <a:gs pos="51000">
                  <a:schemeClr val="accent1">
                    <a:tint val="90000"/>
                    <a:alpha val="75000"/>
                  </a:schemeClr>
                </a:gs>
                <a:gs pos="100000">
                  <a:schemeClr val="accent1">
                    <a:tint val="90000"/>
                    <a:lumMod val="20000"/>
                    <a:lumOff val="80000"/>
                    <a:alpha val="15000"/>
                  </a:schemeClr>
                </a:gs>
              </a:gsLst>
              <a:lin ang="10800000"/>
            </a:gradFill>
            <a:ln>
              <a:noFill/>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'Síntese Questões Pesquisa'!$E$7:$E$9</c:f>
              <c:strCache>
                <c:ptCount val="3"/>
                <c:pt idx="0">
                  <c:v>IEEE Xplore</c:v>
                </c:pt>
                <c:pt idx="1">
                  <c:v>ACM Digital Library</c:v>
                </c:pt>
                <c:pt idx="2">
                  <c:v>Web of Science</c:v>
                </c:pt>
              </c:strCache>
            </c:strRef>
          </c:cat>
          <c:val>
            <c:numRef>
              <c:f>'Síntese Questões Pesquisa'!$I$7:$I$9</c:f>
              <c:numCache>
                <c:formatCode>General</c:formatCode>
                <c:ptCount val="3"/>
                <c:pt idx="0">
                  <c:v>71</c:v>
                </c:pt>
                <c:pt idx="1">
                  <c:v>5</c:v>
                </c:pt>
                <c:pt idx="2">
                  <c:v>47</c:v>
                </c:pt>
              </c:numCache>
            </c:numRef>
          </c:val>
          <c:extLst>
            <c:ext xmlns:c16="http://schemas.microsoft.com/office/drawing/2014/chart" uri="{C3380CC4-5D6E-409C-BE32-E72D297353CC}">
              <c16:uniqueId val="{00000003-72ED-46E7-91ED-9C6BCADEDA15}"/>
            </c:ext>
          </c:extLst>
        </c:ser>
        <c:ser>
          <c:idx val="4"/>
          <c:order val="4"/>
          <c:tx>
            <c:strRef>
              <c:f>'Síntese Questões Pesquisa'!$J$6</c:f>
              <c:strCache>
                <c:ptCount val="1"/>
                <c:pt idx="0">
                  <c:v>RQ5</c:v>
                </c:pt>
              </c:strCache>
            </c:strRef>
          </c:tx>
          <c:spPr>
            <a:gradFill>
              <a:gsLst>
                <a:gs pos="0">
                  <a:schemeClr val="accent1">
                    <a:tint val="70000"/>
                  </a:schemeClr>
                </a:gs>
                <a:gs pos="75000">
                  <a:schemeClr val="accent1">
                    <a:tint val="70000"/>
                    <a:lumMod val="60000"/>
                    <a:lumOff val="40000"/>
                  </a:schemeClr>
                </a:gs>
                <a:gs pos="51000">
                  <a:schemeClr val="accent1">
                    <a:tint val="70000"/>
                    <a:alpha val="75000"/>
                  </a:schemeClr>
                </a:gs>
                <a:gs pos="100000">
                  <a:schemeClr val="accent1">
                    <a:tint val="70000"/>
                    <a:lumMod val="20000"/>
                    <a:lumOff val="80000"/>
                    <a:alpha val="15000"/>
                  </a:schemeClr>
                </a:gs>
              </a:gsLst>
              <a:lin ang="10800000"/>
            </a:gradFill>
            <a:ln>
              <a:noFill/>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'Síntese Questões Pesquisa'!$E$7:$E$9</c:f>
              <c:strCache>
                <c:ptCount val="3"/>
                <c:pt idx="0">
                  <c:v>IEEE Xplore</c:v>
                </c:pt>
                <c:pt idx="1">
                  <c:v>ACM Digital Library</c:v>
                </c:pt>
                <c:pt idx="2">
                  <c:v>Web of Science</c:v>
                </c:pt>
              </c:strCache>
            </c:strRef>
          </c:cat>
          <c:val>
            <c:numRef>
              <c:f>'Síntese Questões Pesquisa'!$J$7:$J$9</c:f>
              <c:numCache>
                <c:formatCode>General</c:formatCode>
                <c:ptCount val="3"/>
                <c:pt idx="0">
                  <c:v>67</c:v>
                </c:pt>
                <c:pt idx="1">
                  <c:v>9</c:v>
                </c:pt>
                <c:pt idx="2">
                  <c:v>51</c:v>
                </c:pt>
              </c:numCache>
            </c:numRef>
          </c:val>
          <c:extLst>
            <c:ext xmlns:c16="http://schemas.microsoft.com/office/drawing/2014/chart" uri="{C3380CC4-5D6E-409C-BE32-E72D297353CC}">
              <c16:uniqueId val="{00000004-72ED-46E7-91ED-9C6BCADEDA15}"/>
            </c:ext>
          </c:extLst>
        </c:ser>
        <c:ser>
          <c:idx val="5"/>
          <c:order val="5"/>
          <c:tx>
            <c:strRef>
              <c:f>'Síntese Questões Pesquisa'!$K$6</c:f>
              <c:strCache>
                <c:ptCount val="1"/>
                <c:pt idx="0">
                  <c:v>RQ6</c:v>
                </c:pt>
              </c:strCache>
            </c:strRef>
          </c:tx>
          <c:spPr>
            <a:gradFill>
              <a:gsLst>
                <a:gs pos="0">
                  <a:schemeClr val="accent1">
                    <a:tint val="50000"/>
                  </a:schemeClr>
                </a:gs>
                <a:gs pos="75000">
                  <a:schemeClr val="accent1">
                    <a:tint val="50000"/>
                    <a:lumMod val="60000"/>
                    <a:lumOff val="40000"/>
                  </a:schemeClr>
                </a:gs>
                <a:gs pos="51000">
                  <a:schemeClr val="accent1">
                    <a:tint val="50000"/>
                    <a:alpha val="75000"/>
                  </a:schemeClr>
                </a:gs>
                <a:gs pos="100000">
                  <a:schemeClr val="accent1">
                    <a:tint val="50000"/>
                    <a:lumMod val="20000"/>
                    <a:lumOff val="80000"/>
                    <a:alpha val="15000"/>
                  </a:schemeClr>
                </a:gs>
              </a:gsLst>
              <a:lin ang="10800000"/>
            </a:gradFill>
            <a:ln>
              <a:noFill/>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'Síntese Questões Pesquisa'!$E$7:$E$9</c:f>
              <c:strCache>
                <c:ptCount val="3"/>
                <c:pt idx="0">
                  <c:v>IEEE Xplore</c:v>
                </c:pt>
                <c:pt idx="1">
                  <c:v>ACM Digital Library</c:v>
                </c:pt>
                <c:pt idx="2">
                  <c:v>Web of Science</c:v>
                </c:pt>
              </c:strCache>
            </c:strRef>
          </c:cat>
          <c:val>
            <c:numRef>
              <c:f>'Síntese Questões Pesquisa'!$K$7:$K$9</c:f>
              <c:numCache>
                <c:formatCode>General</c:formatCode>
                <c:ptCount val="3"/>
                <c:pt idx="0">
                  <c:v>8</c:v>
                </c:pt>
                <c:pt idx="1">
                  <c:v>3</c:v>
                </c:pt>
                <c:pt idx="2">
                  <c:v>3</c:v>
                </c:pt>
              </c:numCache>
            </c:numRef>
          </c:val>
          <c:extLst>
            <c:ext xmlns:c16="http://schemas.microsoft.com/office/drawing/2014/chart" uri="{C3380CC4-5D6E-409C-BE32-E72D297353CC}">
              <c16:uniqueId val="{00000005-72ED-46E7-91ED-9C6BCADEDA15}"/>
            </c:ext>
          </c:extLst>
        </c:ser>
        <c:dLbls>
          <c:dLblPos val="inEnd"/>
          <c:showLegendKey val="0"/>
          <c:showVal val="1"/>
          <c:showCatName val="0"/>
          <c:showSerName val="0"/>
          <c:showPercent val="0"/>
          <c:showBubbleSize val="0"/>
        </c:dLbls>
        <c:gapWidth val="326"/>
        <c:overlap val="-58"/>
        <c:axId val="48650112"/>
        <c:axId val="48672768"/>
      </c:barChart>
      <c:catAx>
        <c:axId val="48650112"/>
        <c:scaling>
          <c:orientation val="minMax"/>
        </c:scaling>
        <c:delete val="0"/>
        <c:axPos val="l"/>
        <c:numFmt formatCode="General" sourceLinked="1"/>
        <c:majorTickMark val="none"/>
        <c:minorTickMark val="none"/>
        <c:tickLblPos val="nextTo"/>
        <c:spPr>
          <a:ln w="19050">
            <a:solidFill>
              <a:schemeClr val="tx1">
                <a:lumMod val="15000"/>
                <a:lumOff val="8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pt-BR"/>
          </a:p>
        </c:txPr>
        <c:crossAx val="48672768"/>
        <c:crosses val="autoZero"/>
        <c:auto val="1"/>
        <c:lblAlgn val="ctr"/>
        <c:lblOffset val="100"/>
        <c:noMultiLvlLbl val="0"/>
      </c:catAx>
      <c:valAx>
        <c:axId val="48672768"/>
        <c:scaling>
          <c:orientation val="minMax"/>
        </c:scaling>
        <c:delete val="0"/>
        <c:axPos val="b"/>
        <c:majorGridlines>
          <c:spPr>
            <a:ln w="9525">
              <a:gradFill>
                <a:gsLst>
                  <a:gs pos="99000">
                    <a:schemeClr val="tx1">
                      <a:lumMod val="25000"/>
                      <a:lumOff val="75000"/>
                    </a:schemeClr>
                  </a:gs>
                  <a:gs pos="0">
                    <a:schemeClr val="tx1">
                      <a:lumMod val="15000"/>
                      <a:lumOff val="85000"/>
                    </a:schemeClr>
                  </a:gs>
                </a:gsLst>
                <a:lin ang="5400000"/>
              </a:gradFill>
            </a:ln>
          </c:spPr>
        </c:majorGridlines>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pt-BR"/>
          </a:p>
        </c:txPr>
        <c:crossAx val="48650112"/>
        <c:crosses val="autoZero"/>
        <c:crossBetween val="between"/>
      </c:valAx>
    </c:plotArea>
    <c:legend>
      <c:legendPos val="b"/>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pt-BR"/>
        </a:p>
      </c:txPr>
    </c:legend>
    <c:plotVisOnly val="1"/>
    <c:dispBlanksAs val="zero"/>
    <c:showDLblsOverMax val="1"/>
  </c:chart>
  <c:spPr>
    <a:solidFill>
      <a:schemeClr val="bg1"/>
    </a:solidFill>
    <a:ln w="9525">
      <a:solidFill>
        <a:schemeClr val="tx1">
          <a:lumMod val="15000"/>
          <a:lumOff val="85000"/>
        </a:schemeClr>
      </a:solidFill>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129540</xdr:colOff>
      <xdr:row>4</xdr:row>
      <xdr:rowOff>106680</xdr:rowOff>
    </xdr:from>
    <xdr:ext cx="3870960" cy="2735580"/>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518160</xdr:colOff>
      <xdr:row>4</xdr:row>
      <xdr:rowOff>83820</xdr:rowOff>
    </xdr:from>
    <xdr:ext cx="4685760" cy="4549140"/>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228600</xdr:colOff>
      <xdr:row>10</xdr:row>
      <xdr:rowOff>15240</xdr:rowOff>
    </xdr:from>
    <xdr:ext cx="4320000" cy="2520000"/>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419100</xdr:colOff>
      <xdr:row>9</xdr:row>
      <xdr:rowOff>137160</xdr:rowOff>
    </xdr:from>
    <xdr:ext cx="5520060" cy="3177540"/>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EEEEstudosPrimrios" displayName="IEEEEstudosPrimrios" ref="A4:L124">
  <autoFilter ref="A4:L124" xr:uid="{00000000-0009-0000-0100-000001000000}"/>
  <tableColumns count="12">
    <tableColumn id="1" xr3:uid="{00000000-0010-0000-0000-000001000000}" name="ID do estudo"/>
    <tableColumn id="2" xr3:uid="{00000000-0010-0000-0000-000002000000}" name="Título"/>
    <tableColumn id="3" xr3:uid="{00000000-0010-0000-0000-000003000000}" name="Autores"/>
    <tableColumn id="4" xr3:uid="{00000000-0010-0000-0000-000004000000}" name="Ano"/>
    <tableColumn id="5" xr3:uid="{00000000-0010-0000-0000-000005000000}" name="Base de dados"/>
    <tableColumn id="6" xr3:uid="{00000000-0010-0000-0000-000006000000}" name="Tipo de estudo"/>
    <tableColumn id="7" xr3:uid="{00000000-0010-0000-0000-000007000000}" name="DOI"/>
    <tableColumn id="8" xr3:uid="{00000000-0010-0000-0000-000008000000}" name="Link"/>
    <tableColumn id="9" xr3:uid="{00000000-0010-0000-0000-000009000000}" name="Resumo"/>
    <tableColumn id="10" xr3:uid="{00000000-0010-0000-0000-00000A000000}" name="Relevância para a pesquisa (Sim/Não)"/>
    <tableColumn id="11" xr3:uid="{00000000-0010-0000-0000-00000B000000}" name="Questões de pesquisa atendidas (RQ1, RQ2, etc.)"/>
    <tableColumn id="12" xr3:uid="{00000000-0010-0000-0000-00000C000000}" name="Observaçõ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MEstudosPrimrios" displayName="ACMEstudosPrimrios" ref="A4:L124">
  <autoFilter ref="A4:L124" xr:uid="{00000000-0009-0000-0100-000002000000}"/>
  <tableColumns count="12">
    <tableColumn id="1" xr3:uid="{00000000-0010-0000-0100-000001000000}" name="ID do estudo"/>
    <tableColumn id="2" xr3:uid="{00000000-0010-0000-0100-000002000000}" name="Título"/>
    <tableColumn id="3" xr3:uid="{00000000-0010-0000-0100-000003000000}" name="Autores"/>
    <tableColumn id="4" xr3:uid="{00000000-0010-0000-0100-000004000000}" name="Ano"/>
    <tableColumn id="5" xr3:uid="{00000000-0010-0000-0100-000005000000}" name="Base de dados"/>
    <tableColumn id="6" xr3:uid="{00000000-0010-0000-0100-000006000000}" name="Tipo de estudo"/>
    <tableColumn id="7" xr3:uid="{00000000-0010-0000-0100-000007000000}" name="DOI"/>
    <tableColumn id="8" xr3:uid="{00000000-0010-0000-0100-000008000000}" name="Link"/>
    <tableColumn id="9" xr3:uid="{00000000-0010-0000-0100-000009000000}" name="Resumo"/>
    <tableColumn id="10" xr3:uid="{00000000-0010-0000-0100-00000A000000}" name="Relevância para a pesquisa (Sim/Não)"/>
    <tableColumn id="11" xr3:uid="{00000000-0010-0000-0100-00000B000000}" name="Questões de pesquisa atendidas (RQ1, RQ2, etc.)"/>
    <tableColumn id="12" xr3:uid="{00000000-0010-0000-0100-00000C000000}" name="Observaçõ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bofSciencePrimrios" displayName="WebofSciencePrimrios" ref="A4:L89">
  <autoFilter ref="A4:L89" xr:uid="{00000000-0009-0000-0100-000003000000}"/>
  <tableColumns count="12">
    <tableColumn id="1" xr3:uid="{00000000-0010-0000-0200-000001000000}" name="ID do estudo"/>
    <tableColumn id="2" xr3:uid="{00000000-0010-0000-0200-000002000000}" name="Título"/>
    <tableColumn id="3" xr3:uid="{00000000-0010-0000-0200-000003000000}" name="Autores"/>
    <tableColumn id="4" xr3:uid="{00000000-0010-0000-0200-000004000000}" name="Ano"/>
    <tableColumn id="5" xr3:uid="{00000000-0010-0000-0200-000005000000}" name="Base de dados"/>
    <tableColumn id="6" xr3:uid="{00000000-0010-0000-0200-000006000000}" name="Tipo de estudo"/>
    <tableColumn id="7" xr3:uid="{00000000-0010-0000-0200-000007000000}" name="DOI"/>
    <tableColumn id="8" xr3:uid="{00000000-0010-0000-0200-000008000000}" name="Link"/>
    <tableColumn id="9" xr3:uid="{00000000-0010-0000-0200-000009000000}" name="Resumo"/>
    <tableColumn id="10" xr3:uid="{00000000-0010-0000-0200-00000A000000}" name="Relevância para a pesquisa (Sim/Não)"/>
    <tableColumn id="11" xr3:uid="{00000000-0010-0000-0200-00000B000000}" name="Questões de pesquisa atendidas (RQ1, RQ2, etc.)"/>
    <tableColumn id="12" xr3:uid="{00000000-0010-0000-0200-00000C000000}" name="Observaçõ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EEEEstudosSecundrio" displayName="IEEEEstudosSecundrio" ref="A4:L21">
  <autoFilter ref="A4:L21" xr:uid="{00000000-0009-0000-0100-000004000000}"/>
  <tableColumns count="12">
    <tableColumn id="1" xr3:uid="{00000000-0010-0000-0300-000001000000}" name="ID do estudo"/>
    <tableColumn id="2" xr3:uid="{00000000-0010-0000-0300-000002000000}" name="Título"/>
    <tableColumn id="3" xr3:uid="{00000000-0010-0000-0300-000003000000}" name="Autores"/>
    <tableColumn id="4" xr3:uid="{00000000-0010-0000-0300-000004000000}" name="Ano"/>
    <tableColumn id="5" xr3:uid="{00000000-0010-0000-0300-000005000000}" name="Base de dados"/>
    <tableColumn id="6" xr3:uid="{00000000-0010-0000-0300-000006000000}" name="Tipo de estudo"/>
    <tableColumn id="7" xr3:uid="{00000000-0010-0000-0300-000007000000}" name="DOI"/>
    <tableColumn id="8" xr3:uid="{00000000-0010-0000-0300-000008000000}" name="Link"/>
    <tableColumn id="9" xr3:uid="{00000000-0010-0000-0300-000009000000}" name="Resumo"/>
    <tableColumn id="10" xr3:uid="{00000000-0010-0000-0300-00000A000000}" name="Relevância para a pesquisa (Sim/Não)"/>
    <tableColumn id="11" xr3:uid="{00000000-0010-0000-0300-00000B000000}" name="Questões de pesquisa atendidas (RQ1, RQ2, etc.)"/>
    <tableColumn id="12" xr3:uid="{00000000-0010-0000-0300-00000C000000}" name="Observaçõ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CMEstudosSecundrios" displayName="ACMEstudosSecundrios" ref="A4:L79">
  <autoFilter ref="A4:L79" xr:uid="{00000000-0009-0000-0100-000005000000}"/>
  <tableColumns count="12">
    <tableColumn id="1" xr3:uid="{00000000-0010-0000-0400-000001000000}" name="ID do estudo"/>
    <tableColumn id="2" xr3:uid="{00000000-0010-0000-0400-000002000000}" name="Título"/>
    <tableColumn id="3" xr3:uid="{00000000-0010-0000-0400-000003000000}" name="Autores"/>
    <tableColumn id="4" xr3:uid="{00000000-0010-0000-0400-000004000000}" name="Ano"/>
    <tableColumn id="5" xr3:uid="{00000000-0010-0000-0400-000005000000}" name="Base de dados"/>
    <tableColumn id="6" xr3:uid="{00000000-0010-0000-0400-000006000000}" name="Tipo de estudo"/>
    <tableColumn id="7" xr3:uid="{00000000-0010-0000-0400-000007000000}" name="DOI"/>
    <tableColumn id="8" xr3:uid="{00000000-0010-0000-0400-000008000000}" name="Link"/>
    <tableColumn id="9" xr3:uid="{00000000-0010-0000-0400-000009000000}" name="Resumo"/>
    <tableColumn id="10" xr3:uid="{00000000-0010-0000-0400-00000A000000}" name="Relevância para a pesquisa (Sim/Não)"/>
    <tableColumn id="11" xr3:uid="{00000000-0010-0000-0400-00000B000000}" name="Questões de pesquisa atendidas (RQ1, RQ2, etc.)"/>
    <tableColumn id="12" xr3:uid="{00000000-0010-0000-0400-00000C000000}" name="Observaçõ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bofScienceSecundri" displayName="WebofScienceSecundri" ref="A4:L23">
  <autoFilter ref="A4:L23" xr:uid="{00000000-0009-0000-0100-000006000000}"/>
  <tableColumns count="12">
    <tableColumn id="1" xr3:uid="{00000000-0010-0000-0500-000001000000}" name="ID do estudo"/>
    <tableColumn id="2" xr3:uid="{00000000-0010-0000-0500-000002000000}" name="Título"/>
    <tableColumn id="3" xr3:uid="{00000000-0010-0000-0500-000003000000}" name="Autores"/>
    <tableColumn id="4" xr3:uid="{00000000-0010-0000-0500-000004000000}" name="Ano"/>
    <tableColumn id="5" xr3:uid="{00000000-0010-0000-0500-000005000000}" name="Base de dados"/>
    <tableColumn id="6" xr3:uid="{00000000-0010-0000-0500-000006000000}" name="Tipo de estudo"/>
    <tableColumn id="7" xr3:uid="{00000000-0010-0000-0500-000007000000}" name="DOI"/>
    <tableColumn id="8" xr3:uid="{00000000-0010-0000-0500-000008000000}" name="Link"/>
    <tableColumn id="9" xr3:uid="{00000000-0010-0000-0500-000009000000}" name="Resumo"/>
    <tableColumn id="10" xr3:uid="{00000000-0010-0000-0500-00000A000000}" name="Relevância para a pesquisa (Sim/Não)"/>
    <tableColumn id="11" xr3:uid="{00000000-0010-0000-0500-00000B000000}" name="Questões de pesquisa atendidas (RQ1, RQ2, etc.)"/>
    <tableColumn id="12" xr3:uid="{00000000-0010-0000-0500-00000C000000}" name="Observaçõ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ntroleDeduplicacao" displayName="ControleDeduplicacao" ref="A4:H329">
  <autoFilter ref="A4:H329" xr:uid="{00000000-0009-0000-0100-000007000000}"/>
  <tableColumns count="8">
    <tableColumn id="1" xr3:uid="{00000000-0010-0000-0600-000001000000}" name="Chave de deduplicação"/>
    <tableColumn id="2" xr3:uid="{00000000-0010-0000-0600-000002000000}" name="Quantidade de ocorrências"/>
    <tableColumn id="3" xr3:uid="{00000000-0010-0000-0600-000003000000}" name="Bases envolvidas"/>
    <tableColumn id="4" xr3:uid="{00000000-0010-0000-0600-000004000000}" name="Tipos envolvidos"/>
    <tableColumn id="5" xr3:uid="{00000000-0010-0000-0600-000005000000}" name="IDs relacionados"/>
    <tableColumn id="6" xr3:uid="{00000000-0010-0000-0600-000006000000}" name="Títulos relacionados"/>
    <tableColumn id="7" xr3:uid="{00000000-0010-0000-0600-000007000000}" name="DOI"/>
    <tableColumn id="8" xr3:uid="{00000000-0010-0000-0600-000008000000}" name="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4"/>
  <sheetViews>
    <sheetView workbookViewId="0">
      <selection sqref="A1:L1"/>
    </sheetView>
  </sheetViews>
  <sheetFormatPr defaultRowHeight="14.4" x14ac:dyDescent="0.3"/>
  <cols>
    <col min="1" max="1" width="15" customWidth="1"/>
    <col min="2" max="2" width="46" customWidth="1"/>
    <col min="3" max="3" width="34" customWidth="1"/>
    <col min="4" max="4" width="11" customWidth="1"/>
    <col min="5" max="5" width="18" customWidth="1"/>
    <col min="6" max="6" width="16" customWidth="1"/>
    <col min="7" max="7" width="24" customWidth="1"/>
    <col min="8" max="8" width="30" customWidth="1"/>
    <col min="9" max="9" width="80" customWidth="1"/>
    <col min="10" max="10" width="18" customWidth="1"/>
    <col min="11" max="11" width="26" customWidth="1"/>
    <col min="12" max="12" width="34" customWidth="1"/>
  </cols>
  <sheetData>
    <row r="1" spans="1:12" ht="19.2" customHeight="1" x14ac:dyDescent="0.3">
      <c r="A1" s="31" t="s">
        <v>0</v>
      </c>
      <c r="B1" s="30"/>
      <c r="C1" s="30"/>
      <c r="D1" s="30"/>
      <c r="E1" s="30"/>
      <c r="F1" s="30"/>
      <c r="G1" s="30"/>
      <c r="H1" s="30"/>
      <c r="I1" s="30"/>
      <c r="J1" s="30"/>
      <c r="K1" s="30"/>
      <c r="L1" s="30"/>
    </row>
    <row r="2" spans="1:12" ht="28.8" customHeight="1" x14ac:dyDescent="0.3">
      <c r="A2" s="29" t="s">
        <v>1</v>
      </c>
      <c r="B2" s="30"/>
      <c r="C2" s="30"/>
      <c r="D2" s="30"/>
      <c r="E2" s="30"/>
      <c r="F2" s="30"/>
      <c r="G2" s="30"/>
      <c r="H2" s="30"/>
      <c r="I2" s="30"/>
      <c r="J2" s="30"/>
      <c r="K2" s="30"/>
      <c r="L2" s="30"/>
    </row>
    <row r="4" spans="1:12" ht="28.8" x14ac:dyDescent="0.3">
      <c r="A4" s="2" t="s">
        <v>2</v>
      </c>
      <c r="B4" s="2" t="s">
        <v>3</v>
      </c>
      <c r="C4" s="2" t="s">
        <v>4</v>
      </c>
      <c r="D4" s="2" t="s">
        <v>5</v>
      </c>
      <c r="E4" s="2" t="s">
        <v>6</v>
      </c>
      <c r="F4" s="2" t="s">
        <v>7</v>
      </c>
      <c r="G4" s="2" t="s">
        <v>8</v>
      </c>
      <c r="H4" s="2" t="s">
        <v>9</v>
      </c>
      <c r="I4" s="2" t="s">
        <v>10</v>
      </c>
      <c r="J4" s="19" t="s">
        <v>11</v>
      </c>
      <c r="K4" s="19" t="s">
        <v>12</v>
      </c>
      <c r="L4" s="2" t="s">
        <v>13</v>
      </c>
    </row>
    <row r="5" spans="1:12" ht="43.2" customHeight="1" x14ac:dyDescent="0.3">
      <c r="A5" s="3" t="s">
        <v>14</v>
      </c>
      <c r="B5" s="4" t="s">
        <v>15</v>
      </c>
      <c r="C5" s="4" t="s">
        <v>16</v>
      </c>
      <c r="D5" s="5">
        <v>2023</v>
      </c>
      <c r="E5" s="3" t="s">
        <v>17</v>
      </c>
      <c r="F5" s="3" t="s">
        <v>18</v>
      </c>
      <c r="G5" s="4" t="s">
        <v>19</v>
      </c>
      <c r="H5" s="6" t="s">
        <v>20</v>
      </c>
      <c r="I5" s="4" t="s">
        <v>21</v>
      </c>
      <c r="J5" s="7" t="s">
        <v>22</v>
      </c>
      <c r="K5" s="4" t="s">
        <v>23</v>
      </c>
      <c r="L5" s="4" t="s">
        <v>24</v>
      </c>
    </row>
    <row r="6" spans="1:12" ht="43.2" customHeight="1" x14ac:dyDescent="0.3">
      <c r="A6" s="3" t="s">
        <v>25</v>
      </c>
      <c r="B6" s="4" t="s">
        <v>26</v>
      </c>
      <c r="C6" s="4" t="s">
        <v>27</v>
      </c>
      <c r="D6" s="5">
        <v>2025</v>
      </c>
      <c r="E6" s="3" t="s">
        <v>17</v>
      </c>
      <c r="F6" s="3" t="s">
        <v>18</v>
      </c>
      <c r="G6" s="4" t="s">
        <v>28</v>
      </c>
      <c r="H6" s="6" t="s">
        <v>29</v>
      </c>
      <c r="I6" s="4" t="s">
        <v>30</v>
      </c>
      <c r="J6" s="7" t="s">
        <v>22</v>
      </c>
      <c r="K6" s="4" t="s">
        <v>23</v>
      </c>
      <c r="L6" s="4" t="s">
        <v>24</v>
      </c>
    </row>
    <row r="7" spans="1:12" ht="43.2" customHeight="1" x14ac:dyDescent="0.3">
      <c r="A7" s="3" t="s">
        <v>31</v>
      </c>
      <c r="B7" s="4" t="s">
        <v>32</v>
      </c>
      <c r="C7" s="4" t="s">
        <v>33</v>
      </c>
      <c r="D7" s="5">
        <v>2025</v>
      </c>
      <c r="E7" s="3" t="s">
        <v>17</v>
      </c>
      <c r="F7" s="3" t="s">
        <v>18</v>
      </c>
      <c r="G7" s="4" t="s">
        <v>34</v>
      </c>
      <c r="H7" s="6" t="s">
        <v>35</v>
      </c>
      <c r="I7" s="4" t="s">
        <v>36</v>
      </c>
      <c r="J7" s="7" t="s">
        <v>22</v>
      </c>
      <c r="K7" s="4" t="s">
        <v>37</v>
      </c>
      <c r="L7" s="4" t="s">
        <v>24</v>
      </c>
    </row>
    <row r="8" spans="1:12" ht="43.2" customHeight="1" x14ac:dyDescent="0.3">
      <c r="A8" s="3" t="s">
        <v>38</v>
      </c>
      <c r="B8" s="4" t="s">
        <v>39</v>
      </c>
      <c r="C8" s="4" t="s">
        <v>40</v>
      </c>
      <c r="D8" s="5">
        <v>2025</v>
      </c>
      <c r="E8" s="3" t="s">
        <v>17</v>
      </c>
      <c r="F8" s="3" t="s">
        <v>18</v>
      </c>
      <c r="G8" s="4" t="s">
        <v>41</v>
      </c>
      <c r="H8" s="6" t="s">
        <v>42</v>
      </c>
      <c r="I8" s="4" t="s">
        <v>43</v>
      </c>
      <c r="J8" s="7" t="s">
        <v>22</v>
      </c>
      <c r="K8" s="22" t="s">
        <v>37</v>
      </c>
      <c r="L8" s="4" t="s">
        <v>24</v>
      </c>
    </row>
    <row r="9" spans="1:12" ht="43.2" customHeight="1" x14ac:dyDescent="0.3">
      <c r="A9" s="3" t="s">
        <v>44</v>
      </c>
      <c r="B9" s="4" t="s">
        <v>45</v>
      </c>
      <c r="C9" s="4" t="s">
        <v>46</v>
      </c>
      <c r="D9" s="5">
        <v>2003</v>
      </c>
      <c r="E9" s="3" t="s">
        <v>17</v>
      </c>
      <c r="F9" s="3" t="s">
        <v>18</v>
      </c>
      <c r="G9" s="4" t="s">
        <v>47</v>
      </c>
      <c r="H9" s="6" t="s">
        <v>48</v>
      </c>
      <c r="I9" s="4" t="s">
        <v>49</v>
      </c>
      <c r="J9" s="8" t="s">
        <v>50</v>
      </c>
      <c r="K9" s="4" t="s">
        <v>51</v>
      </c>
      <c r="L9" s="4" t="s">
        <v>52</v>
      </c>
    </row>
    <row r="10" spans="1:12" ht="43.2" customHeight="1" x14ac:dyDescent="0.3">
      <c r="A10" s="3" t="s">
        <v>53</v>
      </c>
      <c r="B10" s="4" t="s">
        <v>54</v>
      </c>
      <c r="C10" s="4" t="s">
        <v>55</v>
      </c>
      <c r="D10" s="5">
        <v>2025</v>
      </c>
      <c r="E10" s="3" t="s">
        <v>17</v>
      </c>
      <c r="F10" s="3" t="s">
        <v>18</v>
      </c>
      <c r="G10" s="4" t="s">
        <v>56</v>
      </c>
      <c r="H10" s="6" t="s">
        <v>57</v>
      </c>
      <c r="I10" s="4" t="s">
        <v>58</v>
      </c>
      <c r="J10" s="7" t="s">
        <v>22</v>
      </c>
      <c r="K10" s="4" t="s">
        <v>59</v>
      </c>
      <c r="L10" s="4" t="s">
        <v>24</v>
      </c>
    </row>
    <row r="11" spans="1:12" ht="43.2" customHeight="1" x14ac:dyDescent="0.3">
      <c r="A11" s="3" t="s">
        <v>60</v>
      </c>
      <c r="B11" s="4" t="s">
        <v>61</v>
      </c>
      <c r="C11" s="4" t="s">
        <v>62</v>
      </c>
      <c r="D11" s="5">
        <v>2025</v>
      </c>
      <c r="E11" s="3" t="s">
        <v>17</v>
      </c>
      <c r="F11" s="3" t="s">
        <v>18</v>
      </c>
      <c r="G11" s="4" t="s">
        <v>63</v>
      </c>
      <c r="H11" s="6" t="s">
        <v>64</v>
      </c>
      <c r="I11" s="4" t="s">
        <v>65</v>
      </c>
      <c r="J11" s="8" t="s">
        <v>50</v>
      </c>
      <c r="K11" s="4" t="s">
        <v>66</v>
      </c>
      <c r="L11" s="4" t="s">
        <v>52</v>
      </c>
    </row>
    <row r="12" spans="1:12" ht="43.2" customHeight="1" x14ac:dyDescent="0.3">
      <c r="A12" s="3" t="s">
        <v>67</v>
      </c>
      <c r="B12" s="4" t="s">
        <v>68</v>
      </c>
      <c r="C12" s="4" t="s">
        <v>69</v>
      </c>
      <c r="D12" s="5">
        <v>2025</v>
      </c>
      <c r="E12" s="3" t="s">
        <v>17</v>
      </c>
      <c r="F12" s="3" t="s">
        <v>18</v>
      </c>
      <c r="G12" s="4" t="s">
        <v>70</v>
      </c>
      <c r="H12" s="6" t="s">
        <v>71</v>
      </c>
      <c r="I12" s="4" t="s">
        <v>72</v>
      </c>
      <c r="J12" s="7" t="s">
        <v>22</v>
      </c>
      <c r="K12" s="4" t="s">
        <v>23</v>
      </c>
      <c r="L12" s="4" t="s">
        <v>73</v>
      </c>
    </row>
    <row r="13" spans="1:12" ht="43.2" customHeight="1" x14ac:dyDescent="0.3">
      <c r="A13" s="3" t="s">
        <v>74</v>
      </c>
      <c r="B13" s="4" t="s">
        <v>75</v>
      </c>
      <c r="C13" s="4" t="s">
        <v>76</v>
      </c>
      <c r="D13" s="5">
        <v>2025</v>
      </c>
      <c r="E13" s="3" t="s">
        <v>17</v>
      </c>
      <c r="F13" s="3" t="s">
        <v>18</v>
      </c>
      <c r="G13" s="4" t="s">
        <v>77</v>
      </c>
      <c r="H13" s="6" t="s">
        <v>78</v>
      </c>
      <c r="I13" s="4" t="s">
        <v>79</v>
      </c>
      <c r="J13" s="8" t="s">
        <v>50</v>
      </c>
      <c r="K13" s="4" t="s">
        <v>80</v>
      </c>
      <c r="L13" s="4" t="s">
        <v>81</v>
      </c>
    </row>
    <row r="14" spans="1:12" ht="43.2" customHeight="1" x14ac:dyDescent="0.3">
      <c r="A14" s="3" t="s">
        <v>82</v>
      </c>
      <c r="B14" s="4" t="s">
        <v>83</v>
      </c>
      <c r="C14" s="4" t="s">
        <v>84</v>
      </c>
      <c r="D14" s="5">
        <v>2023</v>
      </c>
      <c r="E14" s="3" t="s">
        <v>17</v>
      </c>
      <c r="F14" s="3" t="s">
        <v>18</v>
      </c>
      <c r="G14" s="4" t="s">
        <v>85</v>
      </c>
      <c r="H14" s="6" t="s">
        <v>86</v>
      </c>
      <c r="I14" s="4" t="s">
        <v>87</v>
      </c>
      <c r="J14" s="7" t="s">
        <v>22</v>
      </c>
      <c r="K14" s="4" t="s">
        <v>23</v>
      </c>
      <c r="L14" s="4" t="s">
        <v>73</v>
      </c>
    </row>
    <row r="15" spans="1:12" ht="43.2" customHeight="1" x14ac:dyDescent="0.3">
      <c r="A15" s="3" t="s">
        <v>88</v>
      </c>
      <c r="B15" s="4" t="s">
        <v>89</v>
      </c>
      <c r="C15" s="4" t="s">
        <v>90</v>
      </c>
      <c r="D15" s="5">
        <v>2016</v>
      </c>
      <c r="E15" s="3" t="s">
        <v>17</v>
      </c>
      <c r="F15" s="3" t="s">
        <v>18</v>
      </c>
      <c r="G15" s="4" t="s">
        <v>91</v>
      </c>
      <c r="H15" s="6" t="s">
        <v>92</v>
      </c>
      <c r="I15" s="4" t="s">
        <v>93</v>
      </c>
      <c r="J15" s="8" t="s">
        <v>50</v>
      </c>
      <c r="K15" s="4" t="s">
        <v>94</v>
      </c>
      <c r="L15" s="4" t="s">
        <v>52</v>
      </c>
    </row>
    <row r="16" spans="1:12" ht="43.2" customHeight="1" x14ac:dyDescent="0.3">
      <c r="A16" s="3" t="s">
        <v>95</v>
      </c>
      <c r="B16" s="4" t="s">
        <v>96</v>
      </c>
      <c r="C16" s="4" t="s">
        <v>97</v>
      </c>
      <c r="D16" s="5">
        <v>2024</v>
      </c>
      <c r="E16" s="3" t="s">
        <v>17</v>
      </c>
      <c r="F16" s="3" t="s">
        <v>18</v>
      </c>
      <c r="G16" s="4" t="s">
        <v>98</v>
      </c>
      <c r="H16" s="6" t="s">
        <v>99</v>
      </c>
      <c r="I16" s="4" t="s">
        <v>100</v>
      </c>
      <c r="J16" s="7" t="s">
        <v>22</v>
      </c>
      <c r="K16" s="4" t="s">
        <v>101</v>
      </c>
      <c r="L16" s="4" t="s">
        <v>24</v>
      </c>
    </row>
    <row r="17" spans="1:12" ht="43.2" customHeight="1" x14ac:dyDescent="0.3">
      <c r="A17" s="3" t="s">
        <v>102</v>
      </c>
      <c r="B17" s="4" t="s">
        <v>103</v>
      </c>
      <c r="C17" s="4" t="s">
        <v>104</v>
      </c>
      <c r="D17" s="5">
        <v>2025</v>
      </c>
      <c r="E17" s="3" t="s">
        <v>17</v>
      </c>
      <c r="F17" s="3" t="s">
        <v>18</v>
      </c>
      <c r="G17" s="4" t="s">
        <v>105</v>
      </c>
      <c r="H17" s="6" t="s">
        <v>106</v>
      </c>
      <c r="I17" s="4" t="s">
        <v>107</v>
      </c>
      <c r="J17" s="7" t="s">
        <v>22</v>
      </c>
      <c r="K17" s="4" t="s">
        <v>80</v>
      </c>
      <c r="L17" s="4" t="s">
        <v>24</v>
      </c>
    </row>
    <row r="18" spans="1:12" ht="43.2" customHeight="1" x14ac:dyDescent="0.3">
      <c r="A18" s="3" t="s">
        <v>108</v>
      </c>
      <c r="B18" s="4" t="s">
        <v>109</v>
      </c>
      <c r="C18" s="4" t="s">
        <v>110</v>
      </c>
      <c r="D18" s="5">
        <v>2011</v>
      </c>
      <c r="E18" s="3" t="s">
        <v>17</v>
      </c>
      <c r="F18" s="3" t="s">
        <v>18</v>
      </c>
      <c r="G18" s="4" t="s">
        <v>111</v>
      </c>
      <c r="H18" s="6" t="s">
        <v>112</v>
      </c>
      <c r="I18" s="4" t="s">
        <v>113</v>
      </c>
      <c r="J18" s="8" t="s">
        <v>50</v>
      </c>
      <c r="K18" s="4" t="s">
        <v>66</v>
      </c>
      <c r="L18" s="4" t="s">
        <v>52</v>
      </c>
    </row>
    <row r="19" spans="1:12" ht="43.2" customHeight="1" x14ac:dyDescent="0.3">
      <c r="A19" s="3" t="s">
        <v>114</v>
      </c>
      <c r="B19" s="4" t="s">
        <v>115</v>
      </c>
      <c r="C19" s="4" t="s">
        <v>116</v>
      </c>
      <c r="D19" s="5">
        <v>2025</v>
      </c>
      <c r="E19" s="3" t="s">
        <v>17</v>
      </c>
      <c r="F19" s="3" t="s">
        <v>18</v>
      </c>
      <c r="G19" s="4" t="s">
        <v>117</v>
      </c>
      <c r="H19" s="6" t="s">
        <v>118</v>
      </c>
      <c r="I19" s="4" t="s">
        <v>119</v>
      </c>
      <c r="J19" s="7" t="s">
        <v>22</v>
      </c>
      <c r="K19" s="4" t="s">
        <v>120</v>
      </c>
      <c r="L19" s="4" t="s">
        <v>24</v>
      </c>
    </row>
    <row r="20" spans="1:12" ht="43.2" customHeight="1" x14ac:dyDescent="0.3">
      <c r="A20" s="3" t="s">
        <v>121</v>
      </c>
      <c r="B20" s="4" t="s">
        <v>122</v>
      </c>
      <c r="C20" s="4" t="s">
        <v>123</v>
      </c>
      <c r="D20" s="5">
        <v>2015</v>
      </c>
      <c r="E20" s="3" t="s">
        <v>17</v>
      </c>
      <c r="F20" s="3" t="s">
        <v>18</v>
      </c>
      <c r="G20" s="4" t="s">
        <v>124</v>
      </c>
      <c r="H20" s="6" t="s">
        <v>125</v>
      </c>
      <c r="I20" s="4" t="s">
        <v>126</v>
      </c>
      <c r="J20" s="8" t="s">
        <v>50</v>
      </c>
      <c r="K20" s="4" t="s">
        <v>127</v>
      </c>
      <c r="L20" s="4" t="s">
        <v>52</v>
      </c>
    </row>
    <row r="21" spans="1:12" ht="43.2" customHeight="1" x14ac:dyDescent="0.3">
      <c r="A21" s="3" t="s">
        <v>128</v>
      </c>
      <c r="B21" s="4" t="s">
        <v>129</v>
      </c>
      <c r="C21" s="4" t="s">
        <v>130</v>
      </c>
      <c r="D21" s="5">
        <v>2025</v>
      </c>
      <c r="E21" s="3" t="s">
        <v>17</v>
      </c>
      <c r="F21" s="3" t="s">
        <v>18</v>
      </c>
      <c r="G21" s="4" t="s">
        <v>131</v>
      </c>
      <c r="H21" s="6" t="s">
        <v>132</v>
      </c>
      <c r="I21" s="4" t="s">
        <v>133</v>
      </c>
      <c r="J21" s="8" t="s">
        <v>50</v>
      </c>
      <c r="K21" s="4" t="s">
        <v>134</v>
      </c>
      <c r="L21" s="4" t="s">
        <v>52</v>
      </c>
    </row>
    <row r="22" spans="1:12" ht="43.2" customHeight="1" x14ac:dyDescent="0.3">
      <c r="A22" s="3" t="s">
        <v>135</v>
      </c>
      <c r="B22" s="4" t="s">
        <v>136</v>
      </c>
      <c r="C22" s="4" t="s">
        <v>137</v>
      </c>
      <c r="D22" s="5">
        <v>2024</v>
      </c>
      <c r="E22" s="3" t="s">
        <v>17</v>
      </c>
      <c r="F22" s="3" t="s">
        <v>18</v>
      </c>
      <c r="G22" s="4" t="s">
        <v>138</v>
      </c>
      <c r="H22" s="6" t="s">
        <v>139</v>
      </c>
      <c r="I22" s="4" t="s">
        <v>140</v>
      </c>
      <c r="J22" s="7" t="s">
        <v>22</v>
      </c>
      <c r="K22" s="4" t="s">
        <v>141</v>
      </c>
      <c r="L22" s="4" t="s">
        <v>73</v>
      </c>
    </row>
    <row r="23" spans="1:12" ht="43.2" customHeight="1" x14ac:dyDescent="0.3">
      <c r="A23" s="3" t="s">
        <v>142</v>
      </c>
      <c r="B23" s="4" t="s">
        <v>143</v>
      </c>
      <c r="C23" s="4" t="s">
        <v>144</v>
      </c>
      <c r="D23" s="5">
        <v>2026</v>
      </c>
      <c r="E23" s="3" t="s">
        <v>17</v>
      </c>
      <c r="F23" s="3" t="s">
        <v>18</v>
      </c>
      <c r="G23" s="4" t="s">
        <v>145</v>
      </c>
      <c r="H23" s="6" t="s">
        <v>146</v>
      </c>
      <c r="I23" s="4" t="s">
        <v>147</v>
      </c>
      <c r="J23" s="7" t="s">
        <v>22</v>
      </c>
      <c r="K23" s="4" t="s">
        <v>23</v>
      </c>
      <c r="L23" s="4" t="s">
        <v>73</v>
      </c>
    </row>
    <row r="24" spans="1:12" ht="43.2" customHeight="1" x14ac:dyDescent="0.3">
      <c r="A24" s="3" t="s">
        <v>148</v>
      </c>
      <c r="B24" s="4" t="s">
        <v>149</v>
      </c>
      <c r="C24" s="4" t="s">
        <v>150</v>
      </c>
      <c r="D24" s="5">
        <v>2006</v>
      </c>
      <c r="E24" s="3" t="s">
        <v>17</v>
      </c>
      <c r="F24" s="3" t="s">
        <v>18</v>
      </c>
      <c r="G24" s="4" t="s">
        <v>151</v>
      </c>
      <c r="H24" s="6" t="s">
        <v>152</v>
      </c>
      <c r="I24" s="4" t="s">
        <v>153</v>
      </c>
      <c r="J24" s="8" t="s">
        <v>50</v>
      </c>
      <c r="K24" s="4" t="s">
        <v>154</v>
      </c>
      <c r="L24" s="4" t="s">
        <v>52</v>
      </c>
    </row>
    <row r="25" spans="1:12" ht="43.2" customHeight="1" x14ac:dyDescent="0.3">
      <c r="A25" s="3" t="s">
        <v>155</v>
      </c>
      <c r="B25" s="4" t="s">
        <v>156</v>
      </c>
      <c r="C25" s="4" t="s">
        <v>157</v>
      </c>
      <c r="D25" s="5">
        <v>2025</v>
      </c>
      <c r="E25" s="3" t="s">
        <v>17</v>
      </c>
      <c r="F25" s="3" t="s">
        <v>18</v>
      </c>
      <c r="G25" s="4" t="s">
        <v>158</v>
      </c>
      <c r="H25" s="6" t="s">
        <v>159</v>
      </c>
      <c r="I25" s="4" t="s">
        <v>160</v>
      </c>
      <c r="J25" s="8" t="s">
        <v>50</v>
      </c>
      <c r="K25" s="4" t="s">
        <v>161</v>
      </c>
      <c r="L25" s="4" t="s">
        <v>52</v>
      </c>
    </row>
    <row r="26" spans="1:12" ht="43.2" customHeight="1" x14ac:dyDescent="0.3">
      <c r="A26" s="3" t="s">
        <v>162</v>
      </c>
      <c r="B26" s="4" t="s">
        <v>163</v>
      </c>
      <c r="C26" s="4" t="s">
        <v>164</v>
      </c>
      <c r="D26" s="5">
        <v>2025</v>
      </c>
      <c r="E26" s="3" t="s">
        <v>17</v>
      </c>
      <c r="F26" s="3" t="s">
        <v>18</v>
      </c>
      <c r="G26" s="4" t="s">
        <v>165</v>
      </c>
      <c r="H26" s="6" t="s">
        <v>166</v>
      </c>
      <c r="I26" s="4" t="s">
        <v>167</v>
      </c>
      <c r="J26" s="7" t="s">
        <v>22</v>
      </c>
      <c r="K26" s="4" t="s">
        <v>120</v>
      </c>
      <c r="L26" s="4" t="s">
        <v>24</v>
      </c>
    </row>
    <row r="27" spans="1:12" ht="43.2" customHeight="1" x14ac:dyDescent="0.3">
      <c r="A27" s="3" t="s">
        <v>168</v>
      </c>
      <c r="B27" s="4" t="s">
        <v>169</v>
      </c>
      <c r="C27" s="4" t="s">
        <v>170</v>
      </c>
      <c r="D27" s="5">
        <v>2025</v>
      </c>
      <c r="E27" s="3" t="s">
        <v>17</v>
      </c>
      <c r="F27" s="3" t="s">
        <v>18</v>
      </c>
      <c r="G27" s="4" t="s">
        <v>171</v>
      </c>
      <c r="H27" s="6" t="s">
        <v>172</v>
      </c>
      <c r="I27" s="4" t="s">
        <v>173</v>
      </c>
      <c r="J27" s="7" t="s">
        <v>22</v>
      </c>
      <c r="K27" s="4" t="s">
        <v>37</v>
      </c>
      <c r="L27" s="4" t="s">
        <v>24</v>
      </c>
    </row>
    <row r="28" spans="1:12" ht="43.2" customHeight="1" x14ac:dyDescent="0.3">
      <c r="A28" s="3" t="s">
        <v>174</v>
      </c>
      <c r="B28" s="4" t="s">
        <v>175</v>
      </c>
      <c r="C28" s="4" t="s">
        <v>176</v>
      </c>
      <c r="D28" s="5">
        <v>2025</v>
      </c>
      <c r="E28" s="3" t="s">
        <v>17</v>
      </c>
      <c r="F28" s="3" t="s">
        <v>18</v>
      </c>
      <c r="G28" s="4" t="s">
        <v>177</v>
      </c>
      <c r="H28" s="6" t="s">
        <v>178</v>
      </c>
      <c r="I28" s="4" t="s">
        <v>179</v>
      </c>
      <c r="J28" s="8" t="s">
        <v>50</v>
      </c>
      <c r="K28" s="4" t="s">
        <v>23</v>
      </c>
      <c r="L28" s="4" t="s">
        <v>52</v>
      </c>
    </row>
    <row r="29" spans="1:12" ht="43.2" customHeight="1" x14ac:dyDescent="0.3">
      <c r="A29" s="3" t="s">
        <v>180</v>
      </c>
      <c r="B29" s="4" t="s">
        <v>181</v>
      </c>
      <c r="C29" s="4" t="s">
        <v>182</v>
      </c>
      <c r="D29" s="5">
        <v>2023</v>
      </c>
      <c r="E29" s="3" t="s">
        <v>17</v>
      </c>
      <c r="F29" s="3" t="s">
        <v>18</v>
      </c>
      <c r="G29" s="4" t="s">
        <v>183</v>
      </c>
      <c r="H29" s="6" t="s">
        <v>184</v>
      </c>
      <c r="I29" s="4" t="s">
        <v>185</v>
      </c>
      <c r="J29" s="8" t="s">
        <v>50</v>
      </c>
      <c r="K29" s="4" t="s">
        <v>51</v>
      </c>
      <c r="L29" s="4" t="s">
        <v>52</v>
      </c>
    </row>
    <row r="30" spans="1:12" ht="43.2" customHeight="1" x14ac:dyDescent="0.3">
      <c r="A30" s="3" t="s">
        <v>186</v>
      </c>
      <c r="B30" s="4" t="s">
        <v>187</v>
      </c>
      <c r="C30" s="4" t="s">
        <v>188</v>
      </c>
      <c r="D30" s="5">
        <v>2025</v>
      </c>
      <c r="E30" s="3" t="s">
        <v>17</v>
      </c>
      <c r="F30" s="3" t="s">
        <v>18</v>
      </c>
      <c r="G30" s="4" t="s">
        <v>189</v>
      </c>
      <c r="H30" s="6" t="s">
        <v>190</v>
      </c>
      <c r="I30" s="4" t="s">
        <v>191</v>
      </c>
      <c r="J30" s="7" t="s">
        <v>22</v>
      </c>
      <c r="K30" s="4" t="s">
        <v>23</v>
      </c>
      <c r="L30" s="4" t="s">
        <v>24</v>
      </c>
    </row>
    <row r="31" spans="1:12" ht="43.2" customHeight="1" x14ac:dyDescent="0.3">
      <c r="A31" s="3" t="s">
        <v>192</v>
      </c>
      <c r="B31" s="4" t="s">
        <v>193</v>
      </c>
      <c r="C31" s="4" t="s">
        <v>194</v>
      </c>
      <c r="D31" s="5">
        <v>2025</v>
      </c>
      <c r="E31" s="3" t="s">
        <v>17</v>
      </c>
      <c r="F31" s="3" t="s">
        <v>18</v>
      </c>
      <c r="G31" s="4" t="s">
        <v>195</v>
      </c>
      <c r="H31" s="6" t="s">
        <v>196</v>
      </c>
      <c r="I31" s="4" t="s">
        <v>197</v>
      </c>
      <c r="J31" s="7" t="s">
        <v>22</v>
      </c>
      <c r="K31" s="4" t="s">
        <v>161</v>
      </c>
      <c r="L31" s="4" t="s">
        <v>24</v>
      </c>
    </row>
    <row r="32" spans="1:12" ht="43.2" customHeight="1" x14ac:dyDescent="0.3">
      <c r="A32" s="3" t="s">
        <v>198</v>
      </c>
      <c r="B32" s="4" t="s">
        <v>199</v>
      </c>
      <c r="C32" s="4" t="s">
        <v>200</v>
      </c>
      <c r="D32" s="5">
        <v>2024</v>
      </c>
      <c r="E32" s="3" t="s">
        <v>17</v>
      </c>
      <c r="F32" s="3" t="s">
        <v>18</v>
      </c>
      <c r="G32" s="4" t="s">
        <v>201</v>
      </c>
      <c r="H32" s="6" t="s">
        <v>202</v>
      </c>
      <c r="I32" s="4" t="s">
        <v>203</v>
      </c>
      <c r="J32" s="7" t="s">
        <v>22</v>
      </c>
      <c r="K32" s="4" t="s">
        <v>51</v>
      </c>
      <c r="L32" s="4" t="s">
        <v>24</v>
      </c>
    </row>
    <row r="33" spans="1:12" ht="43.2" customHeight="1" x14ac:dyDescent="0.3">
      <c r="A33" s="3" t="s">
        <v>204</v>
      </c>
      <c r="B33" s="4" t="s">
        <v>205</v>
      </c>
      <c r="C33" s="4" t="s">
        <v>206</v>
      </c>
      <c r="D33" s="5">
        <v>2016</v>
      </c>
      <c r="E33" s="3" t="s">
        <v>17</v>
      </c>
      <c r="F33" s="3" t="s">
        <v>18</v>
      </c>
      <c r="G33" s="4" t="s">
        <v>207</v>
      </c>
      <c r="H33" s="6" t="s">
        <v>208</v>
      </c>
      <c r="I33" s="4" t="s">
        <v>209</v>
      </c>
      <c r="J33" s="8" t="s">
        <v>50</v>
      </c>
      <c r="K33" s="4" t="s">
        <v>210</v>
      </c>
      <c r="L33" s="4" t="s">
        <v>52</v>
      </c>
    </row>
    <row r="34" spans="1:12" ht="43.2" customHeight="1" x14ac:dyDescent="0.3">
      <c r="A34" s="3" t="s">
        <v>211</v>
      </c>
      <c r="B34" s="4" t="s">
        <v>212</v>
      </c>
      <c r="C34" s="4" t="s">
        <v>213</v>
      </c>
      <c r="D34" s="5">
        <v>2025</v>
      </c>
      <c r="E34" s="3" t="s">
        <v>17</v>
      </c>
      <c r="F34" s="3" t="s">
        <v>18</v>
      </c>
      <c r="G34" s="4" t="s">
        <v>214</v>
      </c>
      <c r="H34" s="6" t="s">
        <v>215</v>
      </c>
      <c r="I34" s="4" t="s">
        <v>216</v>
      </c>
      <c r="J34" s="7" t="s">
        <v>22</v>
      </c>
      <c r="K34" s="4" t="s">
        <v>37</v>
      </c>
      <c r="L34" s="4" t="s">
        <v>24</v>
      </c>
    </row>
    <row r="35" spans="1:12" ht="43.2" customHeight="1" x14ac:dyDescent="0.3">
      <c r="A35" s="3" t="s">
        <v>217</v>
      </c>
      <c r="B35" s="4" t="s">
        <v>218</v>
      </c>
      <c r="C35" s="4" t="s">
        <v>219</v>
      </c>
      <c r="D35" s="5">
        <v>2025</v>
      </c>
      <c r="E35" s="3" t="s">
        <v>17</v>
      </c>
      <c r="F35" s="3" t="s">
        <v>18</v>
      </c>
      <c r="G35" s="4" t="s">
        <v>220</v>
      </c>
      <c r="H35" s="6" t="s">
        <v>221</v>
      </c>
      <c r="I35" s="4" t="s">
        <v>222</v>
      </c>
      <c r="J35" s="7" t="s">
        <v>22</v>
      </c>
      <c r="K35" s="4" t="s">
        <v>37</v>
      </c>
      <c r="L35" s="4" t="s">
        <v>73</v>
      </c>
    </row>
    <row r="36" spans="1:12" ht="43.2" customHeight="1" x14ac:dyDescent="0.3">
      <c r="A36" s="3" t="s">
        <v>223</v>
      </c>
      <c r="B36" s="4" t="s">
        <v>224</v>
      </c>
      <c r="C36" s="4" t="s">
        <v>225</v>
      </c>
      <c r="D36" s="5">
        <v>2024</v>
      </c>
      <c r="E36" s="3" t="s">
        <v>17</v>
      </c>
      <c r="F36" s="3" t="s">
        <v>18</v>
      </c>
      <c r="G36" s="4" t="s">
        <v>226</v>
      </c>
      <c r="H36" s="6" t="s">
        <v>227</v>
      </c>
      <c r="I36" s="4" t="s">
        <v>228</v>
      </c>
      <c r="J36" s="7" t="s">
        <v>22</v>
      </c>
      <c r="K36" s="4" t="s">
        <v>37</v>
      </c>
      <c r="L36" s="4" t="s">
        <v>24</v>
      </c>
    </row>
    <row r="37" spans="1:12" ht="43.2" customHeight="1" x14ac:dyDescent="0.3">
      <c r="A37" s="3" t="s">
        <v>229</v>
      </c>
      <c r="B37" s="4" t="s">
        <v>230</v>
      </c>
      <c r="C37" s="4" t="s">
        <v>231</v>
      </c>
      <c r="D37" s="5">
        <v>2025</v>
      </c>
      <c r="E37" s="3" t="s">
        <v>17</v>
      </c>
      <c r="F37" s="3" t="s">
        <v>18</v>
      </c>
      <c r="G37" s="4" t="s">
        <v>232</v>
      </c>
      <c r="H37" s="6" t="s">
        <v>233</v>
      </c>
      <c r="I37" s="4" t="s">
        <v>234</v>
      </c>
      <c r="J37" s="7" t="s">
        <v>22</v>
      </c>
      <c r="K37" s="4" t="s">
        <v>235</v>
      </c>
      <c r="L37" s="4" t="s">
        <v>73</v>
      </c>
    </row>
    <row r="38" spans="1:12" ht="43.2" customHeight="1" x14ac:dyDescent="0.3">
      <c r="A38" s="3" t="s">
        <v>236</v>
      </c>
      <c r="B38" s="4" t="s">
        <v>237</v>
      </c>
      <c r="C38" s="4" t="s">
        <v>238</v>
      </c>
      <c r="D38" s="5">
        <v>2025</v>
      </c>
      <c r="E38" s="3" t="s">
        <v>17</v>
      </c>
      <c r="F38" s="3" t="s">
        <v>18</v>
      </c>
      <c r="G38" s="4" t="s">
        <v>239</v>
      </c>
      <c r="H38" s="6" t="s">
        <v>240</v>
      </c>
      <c r="I38" s="4" t="s">
        <v>241</v>
      </c>
      <c r="J38" s="8" t="s">
        <v>50</v>
      </c>
      <c r="K38" s="4" t="s">
        <v>37</v>
      </c>
      <c r="L38" s="4" t="s">
        <v>52</v>
      </c>
    </row>
    <row r="39" spans="1:12" ht="43.2" customHeight="1" x14ac:dyDescent="0.3">
      <c r="A39" s="3" t="s">
        <v>242</v>
      </c>
      <c r="B39" s="4" t="s">
        <v>243</v>
      </c>
      <c r="C39" s="4" t="s">
        <v>244</v>
      </c>
      <c r="D39" s="5">
        <v>2025</v>
      </c>
      <c r="E39" s="3" t="s">
        <v>17</v>
      </c>
      <c r="F39" s="3" t="s">
        <v>18</v>
      </c>
      <c r="G39" s="4" t="s">
        <v>245</v>
      </c>
      <c r="H39" s="6" t="s">
        <v>246</v>
      </c>
      <c r="I39" s="4" t="s">
        <v>247</v>
      </c>
      <c r="J39" s="8" t="s">
        <v>50</v>
      </c>
      <c r="K39" s="4" t="s">
        <v>23</v>
      </c>
      <c r="L39" s="4" t="s">
        <v>81</v>
      </c>
    </row>
    <row r="40" spans="1:12" ht="43.2" customHeight="1" x14ac:dyDescent="0.3">
      <c r="A40" s="3" t="s">
        <v>248</v>
      </c>
      <c r="B40" s="4" t="s">
        <v>249</v>
      </c>
      <c r="C40" s="4" t="s">
        <v>250</v>
      </c>
      <c r="D40" s="5">
        <v>2018</v>
      </c>
      <c r="E40" s="3" t="s">
        <v>17</v>
      </c>
      <c r="F40" s="3" t="s">
        <v>18</v>
      </c>
      <c r="G40" s="4" t="s">
        <v>251</v>
      </c>
      <c r="H40" s="6" t="s">
        <v>252</v>
      </c>
      <c r="I40" s="4" t="s">
        <v>253</v>
      </c>
      <c r="J40" s="8" t="s">
        <v>50</v>
      </c>
      <c r="K40" s="4" t="s">
        <v>66</v>
      </c>
      <c r="L40" s="4" t="s">
        <v>52</v>
      </c>
    </row>
    <row r="41" spans="1:12" ht="43.2" customHeight="1" x14ac:dyDescent="0.3">
      <c r="A41" s="3" t="s">
        <v>254</v>
      </c>
      <c r="B41" s="4" t="s">
        <v>255</v>
      </c>
      <c r="C41" s="4" t="s">
        <v>256</v>
      </c>
      <c r="D41" s="5">
        <v>2025</v>
      </c>
      <c r="E41" s="3" t="s">
        <v>17</v>
      </c>
      <c r="F41" s="3" t="s">
        <v>18</v>
      </c>
      <c r="G41" s="4" t="s">
        <v>257</v>
      </c>
      <c r="H41" s="6" t="s">
        <v>258</v>
      </c>
      <c r="I41" s="4" t="s">
        <v>259</v>
      </c>
      <c r="J41" s="7" t="s">
        <v>22</v>
      </c>
      <c r="K41" s="4" t="s">
        <v>260</v>
      </c>
      <c r="L41" s="4" t="s">
        <v>73</v>
      </c>
    </row>
    <row r="42" spans="1:12" ht="43.2" customHeight="1" x14ac:dyDescent="0.3">
      <c r="A42" s="3" t="s">
        <v>261</v>
      </c>
      <c r="B42" s="4" t="s">
        <v>262</v>
      </c>
      <c r="C42" s="4" t="s">
        <v>263</v>
      </c>
      <c r="D42" s="5">
        <v>2025</v>
      </c>
      <c r="E42" s="3" t="s">
        <v>17</v>
      </c>
      <c r="F42" s="3" t="s">
        <v>18</v>
      </c>
      <c r="G42" s="4" t="s">
        <v>264</v>
      </c>
      <c r="H42" s="6" t="s">
        <v>265</v>
      </c>
      <c r="I42" s="4" t="s">
        <v>266</v>
      </c>
      <c r="J42" s="8" t="s">
        <v>50</v>
      </c>
      <c r="K42" s="4" t="s">
        <v>141</v>
      </c>
      <c r="L42" s="4" t="s">
        <v>52</v>
      </c>
    </row>
    <row r="43" spans="1:12" ht="43.2" customHeight="1" x14ac:dyDescent="0.3">
      <c r="A43" s="3" t="s">
        <v>267</v>
      </c>
      <c r="B43" s="4" t="s">
        <v>268</v>
      </c>
      <c r="C43" s="4" t="s">
        <v>269</v>
      </c>
      <c r="D43" s="5">
        <v>2026</v>
      </c>
      <c r="E43" s="3" t="s">
        <v>17</v>
      </c>
      <c r="F43" s="3" t="s">
        <v>18</v>
      </c>
      <c r="G43" s="4" t="s">
        <v>270</v>
      </c>
      <c r="H43" s="6" t="s">
        <v>271</v>
      </c>
      <c r="I43" s="4" t="s">
        <v>272</v>
      </c>
      <c r="J43" s="7" t="s">
        <v>22</v>
      </c>
      <c r="K43" s="4" t="s">
        <v>273</v>
      </c>
      <c r="L43" s="4" t="s">
        <v>73</v>
      </c>
    </row>
    <row r="44" spans="1:12" ht="43.2" customHeight="1" x14ac:dyDescent="0.3">
      <c r="A44" s="3" t="s">
        <v>274</v>
      </c>
      <c r="B44" s="4" t="s">
        <v>275</v>
      </c>
      <c r="C44" s="4" t="s">
        <v>276</v>
      </c>
      <c r="D44" s="5">
        <v>2025</v>
      </c>
      <c r="E44" s="3" t="s">
        <v>17</v>
      </c>
      <c r="F44" s="3" t="s">
        <v>18</v>
      </c>
      <c r="G44" s="4" t="s">
        <v>277</v>
      </c>
      <c r="H44" s="6" t="s">
        <v>278</v>
      </c>
      <c r="I44" s="4" t="s">
        <v>279</v>
      </c>
      <c r="J44" s="7" t="s">
        <v>22</v>
      </c>
      <c r="K44" s="4" t="s">
        <v>23</v>
      </c>
      <c r="L44" s="4" t="s">
        <v>24</v>
      </c>
    </row>
    <row r="45" spans="1:12" ht="43.2" customHeight="1" x14ac:dyDescent="0.3">
      <c r="A45" s="3" t="s">
        <v>280</v>
      </c>
      <c r="B45" s="4" t="s">
        <v>281</v>
      </c>
      <c r="C45" s="4" t="s">
        <v>282</v>
      </c>
      <c r="D45" s="5">
        <v>2024</v>
      </c>
      <c r="E45" s="3" t="s">
        <v>17</v>
      </c>
      <c r="F45" s="3" t="s">
        <v>18</v>
      </c>
      <c r="G45" s="4" t="s">
        <v>283</v>
      </c>
      <c r="H45" s="6" t="s">
        <v>284</v>
      </c>
      <c r="I45" s="4" t="s">
        <v>285</v>
      </c>
      <c r="J45" s="7" t="s">
        <v>22</v>
      </c>
      <c r="K45" s="4" t="s">
        <v>286</v>
      </c>
      <c r="L45" s="4" t="s">
        <v>73</v>
      </c>
    </row>
    <row r="46" spans="1:12" ht="43.2" customHeight="1" x14ac:dyDescent="0.3">
      <c r="A46" s="3" t="s">
        <v>287</v>
      </c>
      <c r="B46" s="4" t="s">
        <v>288</v>
      </c>
      <c r="C46" s="4" t="s">
        <v>289</v>
      </c>
      <c r="D46" s="5">
        <v>2008</v>
      </c>
      <c r="E46" s="3" t="s">
        <v>17</v>
      </c>
      <c r="F46" s="3" t="s">
        <v>18</v>
      </c>
      <c r="G46" s="4" t="s">
        <v>290</v>
      </c>
      <c r="H46" s="6" t="s">
        <v>291</v>
      </c>
      <c r="I46" s="4" t="s">
        <v>292</v>
      </c>
      <c r="J46" s="8" t="s">
        <v>50</v>
      </c>
      <c r="K46" s="4" t="s">
        <v>260</v>
      </c>
      <c r="L46" s="4" t="s">
        <v>52</v>
      </c>
    </row>
    <row r="47" spans="1:12" ht="43.2" customHeight="1" x14ac:dyDescent="0.3">
      <c r="A47" s="3" t="s">
        <v>293</v>
      </c>
      <c r="B47" s="4" t="s">
        <v>294</v>
      </c>
      <c r="C47" s="4" t="s">
        <v>295</v>
      </c>
      <c r="D47" s="5">
        <v>2025</v>
      </c>
      <c r="E47" s="3" t="s">
        <v>17</v>
      </c>
      <c r="F47" s="3" t="s">
        <v>18</v>
      </c>
      <c r="G47" s="4" t="s">
        <v>296</v>
      </c>
      <c r="H47" s="6" t="s">
        <v>297</v>
      </c>
      <c r="I47" s="4" t="s">
        <v>298</v>
      </c>
      <c r="J47" s="7" t="s">
        <v>22</v>
      </c>
      <c r="K47" s="4" t="s">
        <v>120</v>
      </c>
      <c r="L47" s="4" t="s">
        <v>24</v>
      </c>
    </row>
    <row r="48" spans="1:12" ht="43.2" customHeight="1" x14ac:dyDescent="0.3">
      <c r="A48" s="3" t="s">
        <v>299</v>
      </c>
      <c r="B48" s="4" t="s">
        <v>300</v>
      </c>
      <c r="C48" s="4" t="s">
        <v>301</v>
      </c>
      <c r="D48" s="5">
        <v>2025</v>
      </c>
      <c r="E48" s="3" t="s">
        <v>17</v>
      </c>
      <c r="F48" s="3" t="s">
        <v>18</v>
      </c>
      <c r="G48" s="4" t="s">
        <v>302</v>
      </c>
      <c r="H48" s="6" t="s">
        <v>303</v>
      </c>
      <c r="I48" s="4" t="s">
        <v>304</v>
      </c>
      <c r="J48" s="7" t="s">
        <v>22</v>
      </c>
      <c r="K48" s="4" t="s">
        <v>66</v>
      </c>
      <c r="L48" s="4" t="s">
        <v>24</v>
      </c>
    </row>
    <row r="49" spans="1:12" ht="43.2" customHeight="1" x14ac:dyDescent="0.3">
      <c r="A49" s="3" t="s">
        <v>305</v>
      </c>
      <c r="B49" s="4" t="s">
        <v>306</v>
      </c>
      <c r="C49" s="4" t="s">
        <v>307</v>
      </c>
      <c r="D49" s="5">
        <v>2025</v>
      </c>
      <c r="E49" s="3" t="s">
        <v>17</v>
      </c>
      <c r="F49" s="3" t="s">
        <v>18</v>
      </c>
      <c r="G49" s="4" t="s">
        <v>308</v>
      </c>
      <c r="H49" s="6" t="s">
        <v>309</v>
      </c>
      <c r="I49" s="4" t="s">
        <v>310</v>
      </c>
      <c r="J49" s="7" t="s">
        <v>22</v>
      </c>
      <c r="K49" s="4" t="s">
        <v>66</v>
      </c>
      <c r="L49" s="4" t="s">
        <v>24</v>
      </c>
    </row>
    <row r="50" spans="1:12" ht="43.2" customHeight="1" x14ac:dyDescent="0.3">
      <c r="A50" s="3" t="s">
        <v>311</v>
      </c>
      <c r="B50" s="4" t="s">
        <v>312</v>
      </c>
      <c r="C50" s="4" t="s">
        <v>313</v>
      </c>
      <c r="D50" s="5">
        <v>2010</v>
      </c>
      <c r="E50" s="3" t="s">
        <v>17</v>
      </c>
      <c r="F50" s="3" t="s">
        <v>18</v>
      </c>
      <c r="G50" s="4" t="s">
        <v>314</v>
      </c>
      <c r="H50" s="6" t="s">
        <v>315</v>
      </c>
      <c r="I50" s="4" t="s">
        <v>316</v>
      </c>
      <c r="J50" s="8" t="s">
        <v>50</v>
      </c>
      <c r="K50" s="4" t="s">
        <v>134</v>
      </c>
      <c r="L50" s="4" t="s">
        <v>52</v>
      </c>
    </row>
    <row r="51" spans="1:12" ht="43.2" customHeight="1" x14ac:dyDescent="0.3">
      <c r="A51" s="3" t="s">
        <v>317</v>
      </c>
      <c r="B51" s="4" t="s">
        <v>318</v>
      </c>
      <c r="C51" s="4" t="s">
        <v>319</v>
      </c>
      <c r="D51" s="5">
        <v>2025</v>
      </c>
      <c r="E51" s="3" t="s">
        <v>17</v>
      </c>
      <c r="F51" s="3" t="s">
        <v>18</v>
      </c>
      <c r="G51" s="4" t="s">
        <v>320</v>
      </c>
      <c r="H51" s="6" t="s">
        <v>321</v>
      </c>
      <c r="I51" s="4" t="s">
        <v>322</v>
      </c>
      <c r="J51" s="7" t="s">
        <v>22</v>
      </c>
      <c r="K51" s="4" t="s">
        <v>37</v>
      </c>
      <c r="L51" s="4" t="s">
        <v>24</v>
      </c>
    </row>
    <row r="52" spans="1:12" ht="43.2" customHeight="1" x14ac:dyDescent="0.3">
      <c r="A52" s="3" t="s">
        <v>323</v>
      </c>
      <c r="B52" s="4" t="s">
        <v>324</v>
      </c>
      <c r="C52" s="4" t="s">
        <v>325</v>
      </c>
      <c r="D52" s="5">
        <v>2025</v>
      </c>
      <c r="E52" s="3" t="s">
        <v>17</v>
      </c>
      <c r="F52" s="3" t="s">
        <v>18</v>
      </c>
      <c r="G52" s="4" t="s">
        <v>326</v>
      </c>
      <c r="H52" s="6" t="s">
        <v>327</v>
      </c>
      <c r="I52" s="4" t="s">
        <v>328</v>
      </c>
      <c r="J52" s="7" t="s">
        <v>22</v>
      </c>
      <c r="K52" s="4" t="s">
        <v>23</v>
      </c>
      <c r="L52" s="4" t="s">
        <v>24</v>
      </c>
    </row>
    <row r="53" spans="1:12" ht="43.2" customHeight="1" x14ac:dyDescent="0.3">
      <c r="A53" s="3" t="s">
        <v>329</v>
      </c>
      <c r="B53" s="4" t="s">
        <v>330</v>
      </c>
      <c r="C53" s="4" t="s">
        <v>331</v>
      </c>
      <c r="D53" s="5">
        <v>2024</v>
      </c>
      <c r="E53" s="3" t="s">
        <v>17</v>
      </c>
      <c r="F53" s="3" t="s">
        <v>18</v>
      </c>
      <c r="G53" s="4" t="s">
        <v>332</v>
      </c>
      <c r="H53" s="6" t="s">
        <v>333</v>
      </c>
      <c r="I53" s="4" t="s">
        <v>334</v>
      </c>
      <c r="J53" s="7" t="s">
        <v>22</v>
      </c>
      <c r="K53" s="4" t="s">
        <v>23</v>
      </c>
      <c r="L53" s="4" t="s">
        <v>24</v>
      </c>
    </row>
    <row r="54" spans="1:12" ht="43.2" customHeight="1" x14ac:dyDescent="0.3">
      <c r="A54" s="3" t="s">
        <v>335</v>
      </c>
      <c r="B54" s="4" t="s">
        <v>336</v>
      </c>
      <c r="C54" s="4" t="s">
        <v>337</v>
      </c>
      <c r="D54" s="5">
        <v>2026</v>
      </c>
      <c r="E54" s="3" t="s">
        <v>17</v>
      </c>
      <c r="F54" s="3" t="s">
        <v>18</v>
      </c>
      <c r="G54" s="4" t="s">
        <v>338</v>
      </c>
      <c r="H54" s="6" t="s">
        <v>339</v>
      </c>
      <c r="I54" s="4" t="s">
        <v>340</v>
      </c>
      <c r="J54" s="7" t="s">
        <v>22</v>
      </c>
      <c r="K54" s="4" t="s">
        <v>141</v>
      </c>
      <c r="L54" s="4" t="s">
        <v>24</v>
      </c>
    </row>
    <row r="55" spans="1:12" ht="43.2" customHeight="1" x14ac:dyDescent="0.3">
      <c r="A55" s="3" t="s">
        <v>341</v>
      </c>
      <c r="B55" s="4" t="s">
        <v>342</v>
      </c>
      <c r="C55" s="4" t="s">
        <v>343</v>
      </c>
      <c r="D55" s="5">
        <v>2025</v>
      </c>
      <c r="E55" s="3" t="s">
        <v>17</v>
      </c>
      <c r="F55" s="3" t="s">
        <v>18</v>
      </c>
      <c r="G55" s="4" t="s">
        <v>344</v>
      </c>
      <c r="H55" s="6" t="s">
        <v>345</v>
      </c>
      <c r="I55" s="4" t="s">
        <v>346</v>
      </c>
      <c r="J55" s="8" t="s">
        <v>50</v>
      </c>
      <c r="K55" s="4" t="s">
        <v>134</v>
      </c>
      <c r="L55" s="4" t="s">
        <v>52</v>
      </c>
    </row>
    <row r="56" spans="1:12" ht="43.2" customHeight="1" x14ac:dyDescent="0.3">
      <c r="A56" s="3" t="s">
        <v>347</v>
      </c>
      <c r="B56" s="4" t="s">
        <v>348</v>
      </c>
      <c r="C56" s="4" t="s">
        <v>349</v>
      </c>
      <c r="D56" s="5">
        <v>2025</v>
      </c>
      <c r="E56" s="3" t="s">
        <v>17</v>
      </c>
      <c r="F56" s="3" t="s">
        <v>18</v>
      </c>
      <c r="G56" s="4" t="s">
        <v>350</v>
      </c>
      <c r="H56" s="6" t="s">
        <v>351</v>
      </c>
      <c r="I56" s="4" t="s">
        <v>352</v>
      </c>
      <c r="J56" s="7" t="s">
        <v>22</v>
      </c>
      <c r="K56" s="4" t="s">
        <v>353</v>
      </c>
      <c r="L56" s="4" t="s">
        <v>73</v>
      </c>
    </row>
    <row r="57" spans="1:12" ht="43.2" customHeight="1" x14ac:dyDescent="0.3">
      <c r="A57" s="3" t="s">
        <v>354</v>
      </c>
      <c r="B57" s="4" t="s">
        <v>355</v>
      </c>
      <c r="C57" s="4" t="s">
        <v>356</v>
      </c>
      <c r="D57" s="5">
        <v>2025</v>
      </c>
      <c r="E57" s="3" t="s">
        <v>17</v>
      </c>
      <c r="F57" s="3" t="s">
        <v>18</v>
      </c>
      <c r="G57" s="4" t="s">
        <v>357</v>
      </c>
      <c r="H57" s="6" t="s">
        <v>358</v>
      </c>
      <c r="I57" s="4" t="s">
        <v>359</v>
      </c>
      <c r="J57" s="8" t="s">
        <v>50</v>
      </c>
      <c r="K57" s="4" t="s">
        <v>101</v>
      </c>
      <c r="L57" s="4" t="s">
        <v>52</v>
      </c>
    </row>
    <row r="58" spans="1:12" ht="43.2" customHeight="1" x14ac:dyDescent="0.3">
      <c r="A58" s="3" t="s">
        <v>360</v>
      </c>
      <c r="B58" s="4" t="s">
        <v>361</v>
      </c>
      <c r="C58" s="4" t="s">
        <v>362</v>
      </c>
      <c r="D58" s="5">
        <v>2024</v>
      </c>
      <c r="E58" s="3" t="s">
        <v>17</v>
      </c>
      <c r="F58" s="3" t="s">
        <v>18</v>
      </c>
      <c r="G58" s="4" t="s">
        <v>363</v>
      </c>
      <c r="H58" s="6" t="s">
        <v>364</v>
      </c>
      <c r="I58" s="4" t="s">
        <v>365</v>
      </c>
      <c r="J58" s="7" t="s">
        <v>22</v>
      </c>
      <c r="K58" s="4" t="s">
        <v>94</v>
      </c>
      <c r="L58" s="4" t="s">
        <v>73</v>
      </c>
    </row>
    <row r="59" spans="1:12" ht="43.2" customHeight="1" x14ac:dyDescent="0.3">
      <c r="A59" s="3" t="s">
        <v>366</v>
      </c>
      <c r="B59" s="4" t="s">
        <v>367</v>
      </c>
      <c r="C59" s="4" t="s">
        <v>368</v>
      </c>
      <c r="D59" s="5">
        <v>2025</v>
      </c>
      <c r="E59" s="3" t="s">
        <v>17</v>
      </c>
      <c r="F59" s="3" t="s">
        <v>18</v>
      </c>
      <c r="G59" s="4" t="s">
        <v>369</v>
      </c>
      <c r="H59" s="6" t="s">
        <v>370</v>
      </c>
      <c r="I59" s="4" t="s">
        <v>371</v>
      </c>
      <c r="J59" s="7" t="s">
        <v>22</v>
      </c>
      <c r="K59" s="4" t="s">
        <v>161</v>
      </c>
      <c r="L59" s="4" t="s">
        <v>24</v>
      </c>
    </row>
    <row r="60" spans="1:12" ht="43.2" customHeight="1" x14ac:dyDescent="0.3">
      <c r="A60" s="3" t="s">
        <v>372</v>
      </c>
      <c r="B60" s="4" t="s">
        <v>373</v>
      </c>
      <c r="C60" s="4" t="s">
        <v>374</v>
      </c>
      <c r="D60" s="5">
        <v>2025</v>
      </c>
      <c r="E60" s="3" t="s">
        <v>17</v>
      </c>
      <c r="F60" s="3" t="s">
        <v>18</v>
      </c>
      <c r="G60" s="4" t="s">
        <v>375</v>
      </c>
      <c r="H60" s="6" t="s">
        <v>376</v>
      </c>
      <c r="I60" s="4" t="s">
        <v>377</v>
      </c>
      <c r="J60" s="8" t="s">
        <v>50</v>
      </c>
      <c r="K60" s="4" t="s">
        <v>353</v>
      </c>
      <c r="L60" s="4" t="s">
        <v>52</v>
      </c>
    </row>
    <row r="61" spans="1:12" ht="43.2" customHeight="1" x14ac:dyDescent="0.3">
      <c r="A61" s="3" t="s">
        <v>378</v>
      </c>
      <c r="B61" s="4" t="s">
        <v>379</v>
      </c>
      <c r="C61" s="4" t="s">
        <v>380</v>
      </c>
      <c r="D61" s="5">
        <v>2025</v>
      </c>
      <c r="E61" s="3" t="s">
        <v>17</v>
      </c>
      <c r="F61" s="3" t="s">
        <v>18</v>
      </c>
      <c r="G61" s="4" t="s">
        <v>381</v>
      </c>
      <c r="H61" s="6" t="s">
        <v>382</v>
      </c>
      <c r="I61" s="4" t="s">
        <v>383</v>
      </c>
      <c r="J61" s="7" t="s">
        <v>22</v>
      </c>
      <c r="K61" s="4" t="s">
        <v>23</v>
      </c>
      <c r="L61" s="4" t="s">
        <v>73</v>
      </c>
    </row>
    <row r="62" spans="1:12" ht="43.2" customHeight="1" x14ac:dyDescent="0.3">
      <c r="A62" s="3" t="s">
        <v>384</v>
      </c>
      <c r="B62" s="4" t="s">
        <v>385</v>
      </c>
      <c r="C62" s="4" t="s">
        <v>386</v>
      </c>
      <c r="D62" s="5">
        <v>2026</v>
      </c>
      <c r="E62" s="3" t="s">
        <v>17</v>
      </c>
      <c r="F62" s="3" t="s">
        <v>18</v>
      </c>
      <c r="G62" s="4" t="s">
        <v>387</v>
      </c>
      <c r="H62" s="6" t="s">
        <v>388</v>
      </c>
      <c r="I62" s="4" t="s">
        <v>389</v>
      </c>
      <c r="J62" s="7" t="s">
        <v>22</v>
      </c>
      <c r="K62" s="4" t="s">
        <v>23</v>
      </c>
      <c r="L62" s="4" t="s">
        <v>73</v>
      </c>
    </row>
    <row r="63" spans="1:12" ht="43.2" customHeight="1" x14ac:dyDescent="0.3">
      <c r="A63" s="3" t="s">
        <v>390</v>
      </c>
      <c r="B63" s="4" t="s">
        <v>391</v>
      </c>
      <c r="C63" s="4" t="s">
        <v>392</v>
      </c>
      <c r="D63" s="5">
        <v>2025</v>
      </c>
      <c r="E63" s="3" t="s">
        <v>17</v>
      </c>
      <c r="F63" s="3" t="s">
        <v>18</v>
      </c>
      <c r="G63" s="4" t="s">
        <v>393</v>
      </c>
      <c r="H63" s="6" t="s">
        <v>394</v>
      </c>
      <c r="I63" s="4" t="s">
        <v>395</v>
      </c>
      <c r="J63" s="7" t="s">
        <v>22</v>
      </c>
      <c r="K63" s="4" t="s">
        <v>37</v>
      </c>
      <c r="L63" s="4" t="s">
        <v>24</v>
      </c>
    </row>
    <row r="64" spans="1:12" ht="43.2" customHeight="1" x14ac:dyDescent="0.3">
      <c r="A64" s="3" t="s">
        <v>396</v>
      </c>
      <c r="B64" s="4" t="s">
        <v>397</v>
      </c>
      <c r="C64" s="4" t="s">
        <v>398</v>
      </c>
      <c r="D64" s="5">
        <v>2024</v>
      </c>
      <c r="E64" s="3" t="s">
        <v>17</v>
      </c>
      <c r="F64" s="3" t="s">
        <v>18</v>
      </c>
      <c r="G64" s="4" t="s">
        <v>399</v>
      </c>
      <c r="H64" s="6" t="s">
        <v>400</v>
      </c>
      <c r="I64" s="4" t="s">
        <v>401</v>
      </c>
      <c r="J64" s="7" t="s">
        <v>22</v>
      </c>
      <c r="K64" s="4" t="s">
        <v>353</v>
      </c>
      <c r="L64" s="4" t="s">
        <v>24</v>
      </c>
    </row>
    <row r="65" spans="1:12" ht="43.2" customHeight="1" x14ac:dyDescent="0.3">
      <c r="A65" s="3" t="s">
        <v>402</v>
      </c>
      <c r="B65" s="4" t="s">
        <v>403</v>
      </c>
      <c r="C65" s="4" t="s">
        <v>404</v>
      </c>
      <c r="D65" s="5">
        <v>2025</v>
      </c>
      <c r="E65" s="3" t="s">
        <v>17</v>
      </c>
      <c r="F65" s="3" t="s">
        <v>18</v>
      </c>
      <c r="G65" s="4" t="s">
        <v>405</v>
      </c>
      <c r="H65" s="6" t="s">
        <v>406</v>
      </c>
      <c r="I65" s="4" t="s">
        <v>407</v>
      </c>
      <c r="J65" s="8" t="s">
        <v>50</v>
      </c>
      <c r="K65" s="4" t="s">
        <v>120</v>
      </c>
      <c r="L65" s="4" t="s">
        <v>52</v>
      </c>
    </row>
    <row r="66" spans="1:12" ht="43.2" customHeight="1" x14ac:dyDescent="0.3">
      <c r="A66" s="3" t="s">
        <v>408</v>
      </c>
      <c r="B66" s="4" t="s">
        <v>409</v>
      </c>
      <c r="C66" s="4" t="s">
        <v>410</v>
      </c>
      <c r="D66" s="5">
        <v>2025</v>
      </c>
      <c r="E66" s="3" t="s">
        <v>17</v>
      </c>
      <c r="F66" s="3" t="s">
        <v>18</v>
      </c>
      <c r="G66" s="4" t="s">
        <v>411</v>
      </c>
      <c r="H66" s="6" t="s">
        <v>412</v>
      </c>
      <c r="I66" s="4" t="s">
        <v>413</v>
      </c>
      <c r="J66" s="7" t="s">
        <v>22</v>
      </c>
      <c r="K66" s="4" t="s">
        <v>37</v>
      </c>
      <c r="L66" s="4" t="s">
        <v>73</v>
      </c>
    </row>
    <row r="67" spans="1:12" ht="43.2" customHeight="1" x14ac:dyDescent="0.3">
      <c r="A67" s="3" t="s">
        <v>414</v>
      </c>
      <c r="B67" s="4" t="s">
        <v>415</v>
      </c>
      <c r="C67" s="4" t="s">
        <v>416</v>
      </c>
      <c r="D67" s="5">
        <v>2025</v>
      </c>
      <c r="E67" s="3" t="s">
        <v>17</v>
      </c>
      <c r="F67" s="3" t="s">
        <v>18</v>
      </c>
      <c r="G67" s="4" t="s">
        <v>417</v>
      </c>
      <c r="H67" s="6" t="s">
        <v>418</v>
      </c>
      <c r="I67" s="4" t="s">
        <v>419</v>
      </c>
      <c r="J67" s="7" t="s">
        <v>22</v>
      </c>
      <c r="K67" s="4" t="s">
        <v>420</v>
      </c>
      <c r="L67" s="4" t="s">
        <v>24</v>
      </c>
    </row>
    <row r="68" spans="1:12" ht="43.2" customHeight="1" x14ac:dyDescent="0.3">
      <c r="A68" s="3" t="s">
        <v>421</v>
      </c>
      <c r="B68" s="4" t="s">
        <v>422</v>
      </c>
      <c r="C68" s="4" t="s">
        <v>423</v>
      </c>
      <c r="D68" s="5">
        <v>2025</v>
      </c>
      <c r="E68" s="3" t="s">
        <v>17</v>
      </c>
      <c r="F68" s="3" t="s">
        <v>18</v>
      </c>
      <c r="G68" s="4" t="s">
        <v>424</v>
      </c>
      <c r="H68" s="6" t="s">
        <v>425</v>
      </c>
      <c r="I68" s="4" t="s">
        <v>426</v>
      </c>
      <c r="J68" s="7" t="s">
        <v>22</v>
      </c>
      <c r="K68" s="4" t="s">
        <v>353</v>
      </c>
      <c r="L68" s="4" t="s">
        <v>73</v>
      </c>
    </row>
    <row r="69" spans="1:12" ht="43.2" customHeight="1" x14ac:dyDescent="0.3">
      <c r="A69" s="3" t="s">
        <v>427</v>
      </c>
      <c r="B69" s="4" t="s">
        <v>428</v>
      </c>
      <c r="C69" s="4" t="s">
        <v>429</v>
      </c>
      <c r="D69" s="5">
        <v>2025</v>
      </c>
      <c r="E69" s="3" t="s">
        <v>17</v>
      </c>
      <c r="F69" s="3" t="s">
        <v>18</v>
      </c>
      <c r="G69" s="4" t="s">
        <v>430</v>
      </c>
      <c r="H69" s="6" t="s">
        <v>431</v>
      </c>
      <c r="I69" s="4" t="s">
        <v>432</v>
      </c>
      <c r="J69" s="7" t="s">
        <v>22</v>
      </c>
      <c r="K69" s="4" t="s">
        <v>134</v>
      </c>
      <c r="L69" s="4" t="s">
        <v>24</v>
      </c>
    </row>
    <row r="70" spans="1:12" ht="43.2" customHeight="1" x14ac:dyDescent="0.3">
      <c r="A70" s="3" t="s">
        <v>433</v>
      </c>
      <c r="B70" s="4" t="s">
        <v>434</v>
      </c>
      <c r="C70" s="4" t="s">
        <v>435</v>
      </c>
      <c r="D70" s="5">
        <v>2024</v>
      </c>
      <c r="E70" s="3" t="s">
        <v>17</v>
      </c>
      <c r="F70" s="3" t="s">
        <v>18</v>
      </c>
      <c r="G70" s="4" t="s">
        <v>436</v>
      </c>
      <c r="H70" s="6" t="s">
        <v>437</v>
      </c>
      <c r="I70" s="4" t="s">
        <v>438</v>
      </c>
      <c r="J70" s="7" t="s">
        <v>22</v>
      </c>
      <c r="K70" s="4" t="s">
        <v>260</v>
      </c>
      <c r="L70" s="4" t="s">
        <v>24</v>
      </c>
    </row>
    <row r="71" spans="1:12" ht="43.2" customHeight="1" x14ac:dyDescent="0.3">
      <c r="A71" s="3" t="s">
        <v>439</v>
      </c>
      <c r="B71" s="4" t="s">
        <v>440</v>
      </c>
      <c r="C71" s="4" t="s">
        <v>441</v>
      </c>
      <c r="D71" s="5">
        <v>2025</v>
      </c>
      <c r="E71" s="3" t="s">
        <v>17</v>
      </c>
      <c r="F71" s="3" t="s">
        <v>18</v>
      </c>
      <c r="G71" s="4" t="s">
        <v>442</v>
      </c>
      <c r="H71" s="6" t="s">
        <v>443</v>
      </c>
      <c r="I71" s="4" t="s">
        <v>444</v>
      </c>
      <c r="J71" s="7" t="s">
        <v>22</v>
      </c>
      <c r="K71" s="4" t="s">
        <v>37</v>
      </c>
      <c r="L71" s="4" t="s">
        <v>24</v>
      </c>
    </row>
    <row r="72" spans="1:12" ht="43.2" customHeight="1" x14ac:dyDescent="0.3">
      <c r="A72" s="3" t="s">
        <v>445</v>
      </c>
      <c r="B72" s="4" t="s">
        <v>446</v>
      </c>
      <c r="C72" s="4" t="s">
        <v>447</v>
      </c>
      <c r="D72" s="5">
        <v>2010</v>
      </c>
      <c r="E72" s="3" t="s">
        <v>17</v>
      </c>
      <c r="F72" s="3" t="s">
        <v>18</v>
      </c>
      <c r="G72" s="4" t="s">
        <v>448</v>
      </c>
      <c r="H72" s="6" t="s">
        <v>449</v>
      </c>
      <c r="I72" s="4" t="s">
        <v>450</v>
      </c>
      <c r="J72" s="8" t="s">
        <v>50</v>
      </c>
      <c r="K72" s="4" t="s">
        <v>451</v>
      </c>
      <c r="L72" s="4" t="s">
        <v>52</v>
      </c>
    </row>
    <row r="73" spans="1:12" ht="43.2" customHeight="1" x14ac:dyDescent="0.3">
      <c r="A73" s="3" t="s">
        <v>452</v>
      </c>
      <c r="B73" s="4" t="s">
        <v>453</v>
      </c>
      <c r="C73" s="4" t="s">
        <v>454</v>
      </c>
      <c r="D73" s="5">
        <v>2002</v>
      </c>
      <c r="E73" s="3" t="s">
        <v>17</v>
      </c>
      <c r="F73" s="3" t="s">
        <v>18</v>
      </c>
      <c r="G73" s="4" t="s">
        <v>455</v>
      </c>
      <c r="H73" s="6" t="s">
        <v>456</v>
      </c>
      <c r="I73" s="4" t="s">
        <v>457</v>
      </c>
      <c r="J73" s="8" t="s">
        <v>50</v>
      </c>
      <c r="K73" s="4" t="s">
        <v>51</v>
      </c>
      <c r="L73" s="4" t="s">
        <v>52</v>
      </c>
    </row>
    <row r="74" spans="1:12" ht="43.2" customHeight="1" x14ac:dyDescent="0.3">
      <c r="A74" s="3" t="s">
        <v>458</v>
      </c>
      <c r="B74" s="4" t="s">
        <v>459</v>
      </c>
      <c r="C74" s="4" t="s">
        <v>460</v>
      </c>
      <c r="D74" s="5">
        <v>2024</v>
      </c>
      <c r="E74" s="3" t="s">
        <v>17</v>
      </c>
      <c r="F74" s="3" t="s">
        <v>18</v>
      </c>
      <c r="G74" s="4" t="s">
        <v>461</v>
      </c>
      <c r="H74" s="6" t="s">
        <v>462</v>
      </c>
      <c r="I74" s="4" t="s">
        <v>463</v>
      </c>
      <c r="J74" s="7" t="s">
        <v>22</v>
      </c>
      <c r="K74" s="4" t="s">
        <v>51</v>
      </c>
      <c r="L74" s="4" t="s">
        <v>73</v>
      </c>
    </row>
    <row r="75" spans="1:12" ht="43.2" customHeight="1" x14ac:dyDescent="0.3">
      <c r="A75" s="3" t="s">
        <v>464</v>
      </c>
      <c r="B75" s="4" t="s">
        <v>465</v>
      </c>
      <c r="C75" s="4" t="s">
        <v>466</v>
      </c>
      <c r="D75" s="5">
        <v>2026</v>
      </c>
      <c r="E75" s="3" t="s">
        <v>17</v>
      </c>
      <c r="F75" s="3" t="s">
        <v>18</v>
      </c>
      <c r="G75" s="4" t="s">
        <v>467</v>
      </c>
      <c r="H75" s="6" t="s">
        <v>468</v>
      </c>
      <c r="I75" s="4" t="s">
        <v>469</v>
      </c>
      <c r="J75" s="7" t="s">
        <v>22</v>
      </c>
      <c r="K75" s="4" t="s">
        <v>470</v>
      </c>
      <c r="L75" s="4" t="s">
        <v>73</v>
      </c>
    </row>
    <row r="76" spans="1:12" ht="43.2" customHeight="1" x14ac:dyDescent="0.3">
      <c r="A76" s="3" t="s">
        <v>471</v>
      </c>
      <c r="B76" s="4" t="s">
        <v>472</v>
      </c>
      <c r="C76" s="4" t="s">
        <v>473</v>
      </c>
      <c r="D76" s="5">
        <v>2025</v>
      </c>
      <c r="E76" s="3" t="s">
        <v>17</v>
      </c>
      <c r="F76" s="3" t="s">
        <v>18</v>
      </c>
      <c r="G76" s="4" t="s">
        <v>474</v>
      </c>
      <c r="H76" s="6" t="s">
        <v>475</v>
      </c>
      <c r="I76" s="4" t="s">
        <v>476</v>
      </c>
      <c r="J76" s="7" t="s">
        <v>22</v>
      </c>
      <c r="K76" s="4" t="s">
        <v>37</v>
      </c>
      <c r="L76" s="4" t="s">
        <v>24</v>
      </c>
    </row>
    <row r="77" spans="1:12" ht="43.2" customHeight="1" x14ac:dyDescent="0.3">
      <c r="A77" s="3" t="s">
        <v>477</v>
      </c>
      <c r="B77" s="4" t="s">
        <v>478</v>
      </c>
      <c r="C77" s="4" t="s">
        <v>479</v>
      </c>
      <c r="D77" s="5">
        <v>2025</v>
      </c>
      <c r="E77" s="3" t="s">
        <v>17</v>
      </c>
      <c r="F77" s="3" t="s">
        <v>18</v>
      </c>
      <c r="G77" s="4" t="s">
        <v>480</v>
      </c>
      <c r="H77" s="6" t="s">
        <v>481</v>
      </c>
      <c r="I77" s="4" t="s">
        <v>482</v>
      </c>
      <c r="J77" s="7" t="s">
        <v>22</v>
      </c>
      <c r="K77" s="4" t="s">
        <v>66</v>
      </c>
      <c r="L77" s="4" t="s">
        <v>24</v>
      </c>
    </row>
    <row r="78" spans="1:12" ht="43.2" customHeight="1" x14ac:dyDescent="0.3">
      <c r="A78" s="3" t="s">
        <v>483</v>
      </c>
      <c r="B78" s="4" t="s">
        <v>484</v>
      </c>
      <c r="C78" s="4" t="s">
        <v>485</v>
      </c>
      <c r="D78" s="5">
        <v>2025</v>
      </c>
      <c r="E78" s="3" t="s">
        <v>17</v>
      </c>
      <c r="F78" s="3" t="s">
        <v>18</v>
      </c>
      <c r="G78" s="4" t="s">
        <v>486</v>
      </c>
      <c r="H78" s="6" t="s">
        <v>487</v>
      </c>
      <c r="I78" s="4" t="s">
        <v>488</v>
      </c>
      <c r="J78" s="7" t="s">
        <v>22</v>
      </c>
      <c r="K78" s="4" t="s">
        <v>353</v>
      </c>
      <c r="L78" s="4" t="s">
        <v>24</v>
      </c>
    </row>
    <row r="79" spans="1:12" ht="43.2" customHeight="1" x14ac:dyDescent="0.3">
      <c r="A79" s="3" t="s">
        <v>489</v>
      </c>
      <c r="B79" s="4" t="s">
        <v>490</v>
      </c>
      <c r="C79" s="4" t="s">
        <v>491</v>
      </c>
      <c r="D79" s="5">
        <v>2017</v>
      </c>
      <c r="E79" s="3" t="s">
        <v>17</v>
      </c>
      <c r="F79" s="3" t="s">
        <v>18</v>
      </c>
      <c r="G79" s="4" t="s">
        <v>492</v>
      </c>
      <c r="H79" s="6" t="s">
        <v>493</v>
      </c>
      <c r="I79" s="4" t="s">
        <v>494</v>
      </c>
      <c r="J79" s="8" t="s">
        <v>50</v>
      </c>
      <c r="K79" s="4" t="s">
        <v>235</v>
      </c>
      <c r="L79" s="4" t="s">
        <v>52</v>
      </c>
    </row>
    <row r="80" spans="1:12" ht="43.2" customHeight="1" x14ac:dyDescent="0.3">
      <c r="A80" s="3" t="s">
        <v>495</v>
      </c>
      <c r="B80" s="4" t="s">
        <v>496</v>
      </c>
      <c r="C80" s="4" t="s">
        <v>497</v>
      </c>
      <c r="D80" s="5">
        <v>2024</v>
      </c>
      <c r="E80" s="3" t="s">
        <v>17</v>
      </c>
      <c r="F80" s="3" t="s">
        <v>18</v>
      </c>
      <c r="G80" s="4" t="s">
        <v>498</v>
      </c>
      <c r="H80" s="6" t="s">
        <v>499</v>
      </c>
      <c r="I80" s="4" t="s">
        <v>500</v>
      </c>
      <c r="J80" s="7" t="s">
        <v>22</v>
      </c>
      <c r="K80" s="4" t="s">
        <v>120</v>
      </c>
      <c r="L80" s="4" t="s">
        <v>24</v>
      </c>
    </row>
    <row r="81" spans="1:12" ht="43.2" customHeight="1" x14ac:dyDescent="0.3">
      <c r="A81" s="3" t="s">
        <v>501</v>
      </c>
      <c r="B81" s="4" t="s">
        <v>502</v>
      </c>
      <c r="C81" s="4" t="s">
        <v>503</v>
      </c>
      <c r="D81" s="5">
        <v>2026</v>
      </c>
      <c r="E81" s="3" t="s">
        <v>17</v>
      </c>
      <c r="F81" s="3" t="s">
        <v>18</v>
      </c>
      <c r="G81" s="4" t="s">
        <v>504</v>
      </c>
      <c r="H81" s="6" t="s">
        <v>505</v>
      </c>
      <c r="I81" s="4" t="s">
        <v>506</v>
      </c>
      <c r="J81" s="7" t="s">
        <v>22</v>
      </c>
      <c r="K81" s="4" t="s">
        <v>37</v>
      </c>
      <c r="L81" s="4" t="s">
        <v>24</v>
      </c>
    </row>
    <row r="82" spans="1:12" ht="43.2" customHeight="1" x14ac:dyDescent="0.3">
      <c r="A82" s="3" t="s">
        <v>507</v>
      </c>
      <c r="B82" s="4" t="s">
        <v>508</v>
      </c>
      <c r="C82" s="4" t="s">
        <v>509</v>
      </c>
      <c r="D82" s="5">
        <v>2008</v>
      </c>
      <c r="E82" s="3" t="s">
        <v>17</v>
      </c>
      <c r="F82" s="3" t="s">
        <v>18</v>
      </c>
      <c r="G82" s="4" t="s">
        <v>510</v>
      </c>
      <c r="H82" s="6" t="s">
        <v>511</v>
      </c>
      <c r="I82" s="4" t="s">
        <v>512</v>
      </c>
      <c r="J82" s="8" t="s">
        <v>50</v>
      </c>
      <c r="K82" s="4" t="s">
        <v>235</v>
      </c>
      <c r="L82" s="4" t="s">
        <v>52</v>
      </c>
    </row>
    <row r="83" spans="1:12" ht="43.2" customHeight="1" x14ac:dyDescent="0.3">
      <c r="A83" s="3" t="s">
        <v>513</v>
      </c>
      <c r="B83" s="4" t="s">
        <v>514</v>
      </c>
      <c r="C83" s="4" t="s">
        <v>515</v>
      </c>
      <c r="D83" s="5">
        <v>2018</v>
      </c>
      <c r="E83" s="3" t="s">
        <v>17</v>
      </c>
      <c r="F83" s="3" t="s">
        <v>18</v>
      </c>
      <c r="G83" s="4" t="s">
        <v>516</v>
      </c>
      <c r="H83" s="6" t="s">
        <v>517</v>
      </c>
      <c r="I83" s="4" t="s">
        <v>518</v>
      </c>
      <c r="J83" s="8" t="s">
        <v>50</v>
      </c>
      <c r="K83" s="4" t="s">
        <v>37</v>
      </c>
      <c r="L83" s="4" t="s">
        <v>52</v>
      </c>
    </row>
    <row r="84" spans="1:12" ht="43.2" customHeight="1" x14ac:dyDescent="0.3">
      <c r="A84" s="3" t="s">
        <v>519</v>
      </c>
      <c r="B84" s="4" t="s">
        <v>520</v>
      </c>
      <c r="C84" s="4" t="s">
        <v>521</v>
      </c>
      <c r="D84" s="5">
        <v>2025</v>
      </c>
      <c r="E84" s="3" t="s">
        <v>17</v>
      </c>
      <c r="F84" s="3" t="s">
        <v>18</v>
      </c>
      <c r="G84" s="4" t="s">
        <v>522</v>
      </c>
      <c r="H84" s="6" t="s">
        <v>523</v>
      </c>
      <c r="I84" s="4" t="s">
        <v>524</v>
      </c>
      <c r="J84" s="7" t="s">
        <v>22</v>
      </c>
      <c r="K84" s="4" t="s">
        <v>37</v>
      </c>
      <c r="L84" s="4" t="s">
        <v>73</v>
      </c>
    </row>
    <row r="85" spans="1:12" ht="43.2" customHeight="1" x14ac:dyDescent="0.3">
      <c r="A85" s="3" t="s">
        <v>525</v>
      </c>
      <c r="B85" s="4" t="s">
        <v>526</v>
      </c>
      <c r="C85" s="4" t="s">
        <v>527</v>
      </c>
      <c r="D85" s="5">
        <v>2025</v>
      </c>
      <c r="E85" s="3" t="s">
        <v>17</v>
      </c>
      <c r="F85" s="3" t="s">
        <v>18</v>
      </c>
      <c r="G85" s="4" t="s">
        <v>528</v>
      </c>
      <c r="H85" s="6" t="s">
        <v>529</v>
      </c>
      <c r="I85" s="4" t="s">
        <v>530</v>
      </c>
      <c r="J85" s="7" t="s">
        <v>22</v>
      </c>
      <c r="K85" s="4" t="s">
        <v>141</v>
      </c>
      <c r="L85" s="4" t="s">
        <v>73</v>
      </c>
    </row>
    <row r="86" spans="1:12" ht="43.2" customHeight="1" x14ac:dyDescent="0.3">
      <c r="A86" s="3" t="s">
        <v>531</v>
      </c>
      <c r="B86" s="4" t="s">
        <v>532</v>
      </c>
      <c r="C86" s="4" t="s">
        <v>533</v>
      </c>
      <c r="D86" s="5">
        <v>2010</v>
      </c>
      <c r="E86" s="3" t="s">
        <v>17</v>
      </c>
      <c r="F86" s="3" t="s">
        <v>18</v>
      </c>
      <c r="G86" s="4" t="s">
        <v>534</v>
      </c>
      <c r="H86" s="6" t="s">
        <v>535</v>
      </c>
      <c r="I86" s="4" t="s">
        <v>536</v>
      </c>
      <c r="J86" s="8" t="s">
        <v>50</v>
      </c>
      <c r="K86" s="4" t="s">
        <v>260</v>
      </c>
      <c r="L86" s="4" t="s">
        <v>52</v>
      </c>
    </row>
    <row r="87" spans="1:12" ht="43.2" customHeight="1" x14ac:dyDescent="0.3">
      <c r="A87" s="3" t="s">
        <v>537</v>
      </c>
      <c r="B87" s="4" t="s">
        <v>538</v>
      </c>
      <c r="C87" s="4" t="s">
        <v>539</v>
      </c>
      <c r="D87" s="5">
        <v>2007</v>
      </c>
      <c r="E87" s="3" t="s">
        <v>17</v>
      </c>
      <c r="F87" s="3" t="s">
        <v>18</v>
      </c>
      <c r="G87" s="4" t="s">
        <v>540</v>
      </c>
      <c r="H87" s="6" t="s">
        <v>541</v>
      </c>
      <c r="I87" s="4" t="s">
        <v>542</v>
      </c>
      <c r="J87" s="8" t="s">
        <v>50</v>
      </c>
      <c r="K87" s="4" t="s">
        <v>451</v>
      </c>
      <c r="L87" s="4" t="s">
        <v>52</v>
      </c>
    </row>
    <row r="88" spans="1:12" ht="43.2" customHeight="1" x14ac:dyDescent="0.3">
      <c r="A88" s="3" t="s">
        <v>543</v>
      </c>
      <c r="B88" s="4" t="s">
        <v>544</v>
      </c>
      <c r="C88" s="4" t="s">
        <v>545</v>
      </c>
      <c r="D88" s="5">
        <v>2026</v>
      </c>
      <c r="E88" s="3" t="s">
        <v>17</v>
      </c>
      <c r="F88" s="3" t="s">
        <v>18</v>
      </c>
      <c r="G88" s="4" t="s">
        <v>546</v>
      </c>
      <c r="H88" s="6" t="s">
        <v>547</v>
      </c>
      <c r="I88" s="4" t="s">
        <v>548</v>
      </c>
      <c r="J88" s="7" t="s">
        <v>22</v>
      </c>
      <c r="K88" s="4" t="s">
        <v>23</v>
      </c>
      <c r="L88" s="4" t="s">
        <v>73</v>
      </c>
    </row>
    <row r="89" spans="1:12" ht="43.2" customHeight="1" x14ac:dyDescent="0.3">
      <c r="A89" s="3" t="s">
        <v>549</v>
      </c>
      <c r="B89" s="4" t="s">
        <v>550</v>
      </c>
      <c r="C89" s="4" t="s">
        <v>551</v>
      </c>
      <c r="D89" s="5">
        <v>2015</v>
      </c>
      <c r="E89" s="3" t="s">
        <v>17</v>
      </c>
      <c r="F89" s="3" t="s">
        <v>18</v>
      </c>
      <c r="G89" s="4" t="s">
        <v>552</v>
      </c>
      <c r="H89" s="6" t="s">
        <v>553</v>
      </c>
      <c r="I89" s="4" t="s">
        <v>554</v>
      </c>
      <c r="J89" s="8" t="s">
        <v>50</v>
      </c>
      <c r="K89" s="4" t="s">
        <v>451</v>
      </c>
      <c r="L89" s="4" t="s">
        <v>52</v>
      </c>
    </row>
    <row r="90" spans="1:12" ht="43.2" customHeight="1" x14ac:dyDescent="0.3">
      <c r="A90" s="3" t="s">
        <v>555</v>
      </c>
      <c r="B90" s="4" t="s">
        <v>556</v>
      </c>
      <c r="C90" s="4" t="s">
        <v>557</v>
      </c>
      <c r="D90" s="5">
        <v>2025</v>
      </c>
      <c r="E90" s="3" t="s">
        <v>17</v>
      </c>
      <c r="F90" s="3" t="s">
        <v>18</v>
      </c>
      <c r="G90" s="4" t="s">
        <v>558</v>
      </c>
      <c r="H90" s="6" t="s">
        <v>559</v>
      </c>
      <c r="I90" s="4" t="s">
        <v>560</v>
      </c>
      <c r="J90" s="7" t="s">
        <v>22</v>
      </c>
      <c r="K90" s="4" t="s">
        <v>37</v>
      </c>
      <c r="L90" s="4" t="s">
        <v>24</v>
      </c>
    </row>
    <row r="91" spans="1:12" ht="43.2" customHeight="1" x14ac:dyDescent="0.3">
      <c r="A91" s="3" t="s">
        <v>561</v>
      </c>
      <c r="B91" s="4" t="s">
        <v>562</v>
      </c>
      <c r="C91" s="4" t="s">
        <v>563</v>
      </c>
      <c r="D91" s="5">
        <v>2025</v>
      </c>
      <c r="E91" s="3" t="s">
        <v>17</v>
      </c>
      <c r="F91" s="3" t="s">
        <v>18</v>
      </c>
      <c r="G91" s="4" t="s">
        <v>564</v>
      </c>
      <c r="H91" s="6" t="s">
        <v>565</v>
      </c>
      <c r="I91" s="4" t="s">
        <v>566</v>
      </c>
      <c r="J91" s="7" t="s">
        <v>22</v>
      </c>
      <c r="K91" s="4" t="s">
        <v>23</v>
      </c>
      <c r="L91" s="4" t="s">
        <v>73</v>
      </c>
    </row>
    <row r="92" spans="1:12" ht="43.2" customHeight="1" x14ac:dyDescent="0.3">
      <c r="A92" s="3" t="s">
        <v>567</v>
      </c>
      <c r="B92" s="4" t="s">
        <v>568</v>
      </c>
      <c r="C92" s="4" t="s">
        <v>569</v>
      </c>
      <c r="D92" s="5">
        <v>2024</v>
      </c>
      <c r="E92" s="3" t="s">
        <v>17</v>
      </c>
      <c r="F92" s="3" t="s">
        <v>18</v>
      </c>
      <c r="G92" s="4" t="s">
        <v>570</v>
      </c>
      <c r="H92" s="6" t="s">
        <v>571</v>
      </c>
      <c r="I92" s="4" t="s">
        <v>572</v>
      </c>
      <c r="J92" s="7" t="s">
        <v>22</v>
      </c>
      <c r="K92" s="4" t="s">
        <v>353</v>
      </c>
      <c r="L92" s="4" t="s">
        <v>24</v>
      </c>
    </row>
    <row r="93" spans="1:12" ht="43.2" customHeight="1" x14ac:dyDescent="0.3">
      <c r="A93" s="3" t="s">
        <v>573</v>
      </c>
      <c r="B93" s="4" t="s">
        <v>574</v>
      </c>
      <c r="C93" s="4" t="s">
        <v>575</v>
      </c>
      <c r="D93" s="5">
        <v>2025</v>
      </c>
      <c r="E93" s="3" t="s">
        <v>17</v>
      </c>
      <c r="F93" s="3" t="s">
        <v>18</v>
      </c>
      <c r="G93" s="4" t="s">
        <v>576</v>
      </c>
      <c r="H93" s="6" t="s">
        <v>577</v>
      </c>
      <c r="I93" s="4" t="s">
        <v>578</v>
      </c>
      <c r="J93" s="7" t="s">
        <v>22</v>
      </c>
      <c r="K93" s="4" t="s">
        <v>579</v>
      </c>
      <c r="L93" s="4" t="s">
        <v>73</v>
      </c>
    </row>
    <row r="94" spans="1:12" ht="43.2" customHeight="1" x14ac:dyDescent="0.3">
      <c r="A94" s="3" t="s">
        <v>580</v>
      </c>
      <c r="B94" s="4" t="s">
        <v>581</v>
      </c>
      <c r="C94" s="4" t="s">
        <v>582</v>
      </c>
      <c r="D94" s="5">
        <v>2025</v>
      </c>
      <c r="E94" s="3" t="s">
        <v>17</v>
      </c>
      <c r="F94" s="3" t="s">
        <v>18</v>
      </c>
      <c r="G94" s="4" t="s">
        <v>583</v>
      </c>
      <c r="H94" s="6" t="s">
        <v>584</v>
      </c>
      <c r="I94" s="4" t="s">
        <v>585</v>
      </c>
      <c r="J94" s="7" t="s">
        <v>22</v>
      </c>
      <c r="K94" s="4" t="s">
        <v>286</v>
      </c>
      <c r="L94" s="4" t="s">
        <v>24</v>
      </c>
    </row>
    <row r="95" spans="1:12" ht="43.2" customHeight="1" x14ac:dyDescent="0.3">
      <c r="A95" s="3" t="s">
        <v>586</v>
      </c>
      <c r="B95" s="4" t="s">
        <v>587</v>
      </c>
      <c r="C95" s="4" t="s">
        <v>588</v>
      </c>
      <c r="D95" s="5">
        <v>2024</v>
      </c>
      <c r="E95" s="3" t="s">
        <v>17</v>
      </c>
      <c r="F95" s="3" t="s">
        <v>18</v>
      </c>
      <c r="G95" s="4" t="s">
        <v>589</v>
      </c>
      <c r="H95" s="6" t="s">
        <v>590</v>
      </c>
      <c r="I95" s="4" t="s">
        <v>591</v>
      </c>
      <c r="J95" s="7" t="s">
        <v>22</v>
      </c>
      <c r="K95" s="4" t="s">
        <v>37</v>
      </c>
      <c r="L95" s="4" t="s">
        <v>24</v>
      </c>
    </row>
    <row r="96" spans="1:12" ht="43.2" customHeight="1" x14ac:dyDescent="0.3">
      <c r="A96" s="3" t="s">
        <v>592</v>
      </c>
      <c r="B96" s="4" t="s">
        <v>593</v>
      </c>
      <c r="C96" s="4" t="s">
        <v>594</v>
      </c>
      <c r="D96" s="5">
        <v>2025</v>
      </c>
      <c r="E96" s="3" t="s">
        <v>17</v>
      </c>
      <c r="F96" s="3" t="s">
        <v>18</v>
      </c>
      <c r="G96" s="4" t="s">
        <v>595</v>
      </c>
      <c r="H96" s="6" t="s">
        <v>596</v>
      </c>
      <c r="I96" s="4" t="s">
        <v>597</v>
      </c>
      <c r="J96" s="8" t="s">
        <v>50</v>
      </c>
      <c r="K96" s="4" t="s">
        <v>127</v>
      </c>
      <c r="L96" s="4" t="s">
        <v>52</v>
      </c>
    </row>
    <row r="97" spans="1:12" ht="43.2" customHeight="1" x14ac:dyDescent="0.3">
      <c r="A97" s="3" t="s">
        <v>598</v>
      </c>
      <c r="B97" s="4" t="s">
        <v>599</v>
      </c>
      <c r="C97" s="4" t="s">
        <v>600</v>
      </c>
      <c r="D97" s="5">
        <v>2008</v>
      </c>
      <c r="E97" s="3" t="s">
        <v>17</v>
      </c>
      <c r="F97" s="3" t="s">
        <v>18</v>
      </c>
      <c r="G97" s="4" t="s">
        <v>601</v>
      </c>
      <c r="H97" s="6" t="s">
        <v>602</v>
      </c>
      <c r="I97" s="4" t="s">
        <v>603</v>
      </c>
      <c r="J97" s="8" t="s">
        <v>50</v>
      </c>
      <c r="K97" s="4" t="s">
        <v>127</v>
      </c>
      <c r="L97" s="4" t="s">
        <v>52</v>
      </c>
    </row>
    <row r="98" spans="1:12" ht="43.2" customHeight="1" x14ac:dyDescent="0.3">
      <c r="A98" s="3" t="s">
        <v>604</v>
      </c>
      <c r="B98" s="4" t="s">
        <v>605</v>
      </c>
      <c r="C98" s="4" t="s">
        <v>606</v>
      </c>
      <c r="D98" s="5">
        <v>2022</v>
      </c>
      <c r="E98" s="3" t="s">
        <v>17</v>
      </c>
      <c r="F98" s="3" t="s">
        <v>18</v>
      </c>
      <c r="G98" s="4" t="s">
        <v>607</v>
      </c>
      <c r="H98" s="6" t="s">
        <v>608</v>
      </c>
      <c r="I98" s="4" t="s">
        <v>609</v>
      </c>
      <c r="J98" s="8" t="s">
        <v>50</v>
      </c>
      <c r="K98" s="4" t="s">
        <v>66</v>
      </c>
      <c r="L98" s="4" t="s">
        <v>52</v>
      </c>
    </row>
    <row r="99" spans="1:12" ht="43.2" customHeight="1" x14ac:dyDescent="0.3">
      <c r="A99" s="3" t="s">
        <v>610</v>
      </c>
      <c r="B99" s="4" t="s">
        <v>611</v>
      </c>
      <c r="C99" s="4" t="s">
        <v>612</v>
      </c>
      <c r="D99" s="5">
        <v>2025</v>
      </c>
      <c r="E99" s="3" t="s">
        <v>17</v>
      </c>
      <c r="F99" s="3" t="s">
        <v>18</v>
      </c>
      <c r="G99" s="4" t="s">
        <v>613</v>
      </c>
      <c r="H99" s="6" t="s">
        <v>614</v>
      </c>
      <c r="I99" s="4" t="s">
        <v>615</v>
      </c>
      <c r="J99" s="7" t="s">
        <v>22</v>
      </c>
      <c r="K99" s="4" t="s">
        <v>616</v>
      </c>
      <c r="L99" s="4" t="s">
        <v>24</v>
      </c>
    </row>
    <row r="100" spans="1:12" ht="43.2" customHeight="1" x14ac:dyDescent="0.3">
      <c r="A100" s="3" t="s">
        <v>617</v>
      </c>
      <c r="B100" s="4" t="s">
        <v>618</v>
      </c>
      <c r="C100" s="4" t="s">
        <v>619</v>
      </c>
      <c r="D100" s="5">
        <v>2025</v>
      </c>
      <c r="E100" s="3" t="s">
        <v>17</v>
      </c>
      <c r="F100" s="3" t="s">
        <v>18</v>
      </c>
      <c r="G100" s="4" t="s">
        <v>620</v>
      </c>
      <c r="H100" s="6" t="s">
        <v>621</v>
      </c>
      <c r="I100" s="4" t="s">
        <v>622</v>
      </c>
      <c r="J100" s="7" t="s">
        <v>22</v>
      </c>
      <c r="K100" s="4" t="s">
        <v>66</v>
      </c>
      <c r="L100" s="4" t="s">
        <v>24</v>
      </c>
    </row>
    <row r="101" spans="1:12" ht="43.2" customHeight="1" x14ac:dyDescent="0.3">
      <c r="A101" s="3" t="s">
        <v>623</v>
      </c>
      <c r="B101" s="4" t="s">
        <v>624</v>
      </c>
      <c r="C101" s="4" t="s">
        <v>625</v>
      </c>
      <c r="D101" s="5">
        <v>2025</v>
      </c>
      <c r="E101" s="3" t="s">
        <v>17</v>
      </c>
      <c r="F101" s="3" t="s">
        <v>18</v>
      </c>
      <c r="G101" s="4" t="s">
        <v>626</v>
      </c>
      <c r="H101" s="6" t="s">
        <v>627</v>
      </c>
      <c r="I101" s="4" t="s">
        <v>628</v>
      </c>
      <c r="J101" s="7" t="s">
        <v>22</v>
      </c>
      <c r="K101" s="4" t="s">
        <v>141</v>
      </c>
      <c r="L101" s="4" t="s">
        <v>24</v>
      </c>
    </row>
    <row r="102" spans="1:12" ht="43.2" customHeight="1" x14ac:dyDescent="0.3">
      <c r="A102" s="3" t="s">
        <v>629</v>
      </c>
      <c r="B102" s="4" t="s">
        <v>630</v>
      </c>
      <c r="C102" s="4" t="s">
        <v>631</v>
      </c>
      <c r="D102" s="5">
        <v>2025</v>
      </c>
      <c r="E102" s="3" t="s">
        <v>17</v>
      </c>
      <c r="F102" s="3" t="s">
        <v>18</v>
      </c>
      <c r="G102" s="4" t="s">
        <v>632</v>
      </c>
      <c r="H102" s="6" t="s">
        <v>633</v>
      </c>
      <c r="I102" s="4" t="s">
        <v>634</v>
      </c>
      <c r="J102" s="7" t="s">
        <v>22</v>
      </c>
      <c r="K102" s="4" t="s">
        <v>23</v>
      </c>
      <c r="L102" s="4" t="s">
        <v>73</v>
      </c>
    </row>
    <row r="103" spans="1:12" ht="43.2" customHeight="1" x14ac:dyDescent="0.3">
      <c r="A103" s="3" t="s">
        <v>635</v>
      </c>
      <c r="B103" s="4" t="s">
        <v>636</v>
      </c>
      <c r="C103" s="4" t="s">
        <v>637</v>
      </c>
      <c r="D103" s="5">
        <v>2025</v>
      </c>
      <c r="E103" s="3" t="s">
        <v>17</v>
      </c>
      <c r="F103" s="3" t="s">
        <v>18</v>
      </c>
      <c r="G103" s="4" t="s">
        <v>638</v>
      </c>
      <c r="H103" s="6" t="s">
        <v>639</v>
      </c>
      <c r="I103" s="4" t="s">
        <v>640</v>
      </c>
      <c r="J103" s="7" t="s">
        <v>22</v>
      </c>
      <c r="K103" s="4" t="s">
        <v>127</v>
      </c>
      <c r="L103" s="4" t="s">
        <v>24</v>
      </c>
    </row>
    <row r="104" spans="1:12" ht="43.2" customHeight="1" x14ac:dyDescent="0.3">
      <c r="A104" s="3" t="s">
        <v>641</v>
      </c>
      <c r="B104" s="4" t="s">
        <v>642</v>
      </c>
      <c r="C104" s="4" t="s">
        <v>643</v>
      </c>
      <c r="D104" s="5">
        <v>2018</v>
      </c>
      <c r="E104" s="3" t="s">
        <v>17</v>
      </c>
      <c r="F104" s="3" t="s">
        <v>18</v>
      </c>
      <c r="G104" s="4" t="s">
        <v>644</v>
      </c>
      <c r="H104" s="6" t="s">
        <v>645</v>
      </c>
      <c r="I104" s="4" t="s">
        <v>646</v>
      </c>
      <c r="J104" s="8" t="s">
        <v>50</v>
      </c>
      <c r="K104" s="4" t="s">
        <v>647</v>
      </c>
      <c r="L104" s="4" t="s">
        <v>52</v>
      </c>
    </row>
    <row r="105" spans="1:12" ht="43.2" customHeight="1" x14ac:dyDescent="0.3">
      <c r="A105" s="3" t="s">
        <v>648</v>
      </c>
      <c r="B105" s="4" t="s">
        <v>649</v>
      </c>
      <c r="C105" s="4" t="s">
        <v>650</v>
      </c>
      <c r="D105" s="5">
        <v>2017</v>
      </c>
      <c r="E105" s="3" t="s">
        <v>17</v>
      </c>
      <c r="F105" s="3" t="s">
        <v>18</v>
      </c>
      <c r="G105" s="4" t="s">
        <v>651</v>
      </c>
      <c r="H105" s="6" t="s">
        <v>652</v>
      </c>
      <c r="I105" s="4" t="s">
        <v>653</v>
      </c>
      <c r="J105" s="8" t="s">
        <v>50</v>
      </c>
      <c r="K105" s="4" t="s">
        <v>51</v>
      </c>
      <c r="L105" s="4" t="s">
        <v>52</v>
      </c>
    </row>
    <row r="106" spans="1:12" ht="43.2" customHeight="1" x14ac:dyDescent="0.3">
      <c r="A106" s="3" t="s">
        <v>654</v>
      </c>
      <c r="B106" s="4" t="s">
        <v>655</v>
      </c>
      <c r="C106" s="4" t="s">
        <v>656</v>
      </c>
      <c r="D106" s="5">
        <v>2024</v>
      </c>
      <c r="E106" s="3" t="s">
        <v>17</v>
      </c>
      <c r="F106" s="3" t="s">
        <v>18</v>
      </c>
      <c r="G106" s="4" t="s">
        <v>657</v>
      </c>
      <c r="H106" s="6" t="s">
        <v>658</v>
      </c>
      <c r="I106" s="4" t="s">
        <v>659</v>
      </c>
      <c r="J106" s="8" t="s">
        <v>50</v>
      </c>
      <c r="K106" s="4" t="s">
        <v>660</v>
      </c>
      <c r="L106" s="4" t="s">
        <v>52</v>
      </c>
    </row>
    <row r="107" spans="1:12" ht="43.2" customHeight="1" x14ac:dyDescent="0.3">
      <c r="A107" s="3" t="s">
        <v>661</v>
      </c>
      <c r="B107" s="4" t="s">
        <v>662</v>
      </c>
      <c r="C107" s="4" t="s">
        <v>663</v>
      </c>
      <c r="D107" s="5">
        <v>2025</v>
      </c>
      <c r="E107" s="3" t="s">
        <v>17</v>
      </c>
      <c r="F107" s="3" t="s">
        <v>18</v>
      </c>
      <c r="G107" s="4" t="s">
        <v>664</v>
      </c>
      <c r="H107" s="6" t="s">
        <v>665</v>
      </c>
      <c r="I107" s="4" t="s">
        <v>666</v>
      </c>
      <c r="J107" s="7" t="s">
        <v>22</v>
      </c>
      <c r="K107" s="4" t="s">
        <v>23</v>
      </c>
      <c r="L107" s="4" t="s">
        <v>73</v>
      </c>
    </row>
    <row r="108" spans="1:12" ht="43.2" customHeight="1" x14ac:dyDescent="0.3">
      <c r="A108" s="3" t="s">
        <v>667</v>
      </c>
      <c r="B108" s="4" t="s">
        <v>668</v>
      </c>
      <c r="C108" s="4" t="s">
        <v>669</v>
      </c>
      <c r="D108" s="5">
        <v>2025</v>
      </c>
      <c r="E108" s="3" t="s">
        <v>17</v>
      </c>
      <c r="F108" s="3" t="s">
        <v>18</v>
      </c>
      <c r="G108" s="4" t="s">
        <v>670</v>
      </c>
      <c r="H108" s="6" t="s">
        <v>671</v>
      </c>
      <c r="I108" s="4" t="s">
        <v>672</v>
      </c>
      <c r="J108" s="7" t="s">
        <v>22</v>
      </c>
      <c r="K108" s="4" t="s">
        <v>127</v>
      </c>
      <c r="L108" s="4" t="s">
        <v>24</v>
      </c>
    </row>
    <row r="109" spans="1:12" ht="43.2" customHeight="1" x14ac:dyDescent="0.3">
      <c r="A109" s="3" t="s">
        <v>673</v>
      </c>
      <c r="B109" s="4" t="s">
        <v>674</v>
      </c>
      <c r="C109" s="4" t="s">
        <v>675</v>
      </c>
      <c r="D109" s="5">
        <v>2025</v>
      </c>
      <c r="E109" s="3" t="s">
        <v>17</v>
      </c>
      <c r="F109" s="3" t="s">
        <v>18</v>
      </c>
      <c r="G109" s="4" t="s">
        <v>676</v>
      </c>
      <c r="H109" s="6" t="s">
        <v>677</v>
      </c>
      <c r="I109" s="4" t="s">
        <v>678</v>
      </c>
      <c r="J109" s="7" t="s">
        <v>22</v>
      </c>
      <c r="K109" s="4" t="s">
        <v>37</v>
      </c>
      <c r="L109" s="4" t="s">
        <v>24</v>
      </c>
    </row>
    <row r="110" spans="1:12" ht="43.2" customHeight="1" x14ac:dyDescent="0.3">
      <c r="A110" s="3" t="s">
        <v>679</v>
      </c>
      <c r="B110" s="4" t="s">
        <v>680</v>
      </c>
      <c r="C110" s="4" t="s">
        <v>681</v>
      </c>
      <c r="D110" s="5">
        <v>2025</v>
      </c>
      <c r="E110" s="3" t="s">
        <v>17</v>
      </c>
      <c r="F110" s="3" t="s">
        <v>18</v>
      </c>
      <c r="G110" s="4" t="s">
        <v>682</v>
      </c>
      <c r="H110" s="6" t="s">
        <v>683</v>
      </c>
      <c r="I110" s="4" t="s">
        <v>684</v>
      </c>
      <c r="J110" s="7" t="s">
        <v>22</v>
      </c>
      <c r="K110" s="4" t="s">
        <v>37</v>
      </c>
      <c r="L110" s="4" t="s">
        <v>73</v>
      </c>
    </row>
    <row r="111" spans="1:12" ht="43.2" customHeight="1" x14ac:dyDescent="0.3">
      <c r="A111" s="3" t="s">
        <v>685</v>
      </c>
      <c r="B111" s="4" t="s">
        <v>686</v>
      </c>
      <c r="C111" s="4" t="s">
        <v>687</v>
      </c>
      <c r="D111" s="5">
        <v>2010</v>
      </c>
      <c r="E111" s="3" t="s">
        <v>17</v>
      </c>
      <c r="F111" s="3" t="s">
        <v>18</v>
      </c>
      <c r="G111" s="4" t="s">
        <v>688</v>
      </c>
      <c r="H111" s="6" t="s">
        <v>689</v>
      </c>
      <c r="I111" s="4" t="s">
        <v>690</v>
      </c>
      <c r="J111" s="8" t="s">
        <v>50</v>
      </c>
      <c r="K111" s="4" t="s">
        <v>451</v>
      </c>
      <c r="L111" s="4" t="s">
        <v>52</v>
      </c>
    </row>
    <row r="112" spans="1:12" ht="43.2" customHeight="1" x14ac:dyDescent="0.3">
      <c r="A112" s="3" t="s">
        <v>691</v>
      </c>
      <c r="B112" s="4" t="s">
        <v>692</v>
      </c>
      <c r="C112" s="4" t="s">
        <v>693</v>
      </c>
      <c r="D112" s="5">
        <v>2025</v>
      </c>
      <c r="E112" s="3" t="s">
        <v>17</v>
      </c>
      <c r="F112" s="3" t="s">
        <v>18</v>
      </c>
      <c r="G112" s="4" t="s">
        <v>694</v>
      </c>
      <c r="H112" s="6" t="s">
        <v>695</v>
      </c>
      <c r="I112" s="4" t="s">
        <v>696</v>
      </c>
      <c r="J112" s="7" t="s">
        <v>22</v>
      </c>
      <c r="K112" s="4" t="s">
        <v>37</v>
      </c>
      <c r="L112" s="4" t="s">
        <v>24</v>
      </c>
    </row>
    <row r="113" spans="1:12" ht="43.2" customHeight="1" x14ac:dyDescent="0.3">
      <c r="A113" s="3" t="s">
        <v>697</v>
      </c>
      <c r="B113" s="4" t="s">
        <v>698</v>
      </c>
      <c r="C113" s="4" t="s">
        <v>699</v>
      </c>
      <c r="D113" s="5">
        <v>2025</v>
      </c>
      <c r="E113" s="3" t="s">
        <v>17</v>
      </c>
      <c r="F113" s="3" t="s">
        <v>18</v>
      </c>
      <c r="G113" s="4" t="s">
        <v>700</v>
      </c>
      <c r="H113" s="6" t="s">
        <v>701</v>
      </c>
      <c r="I113" s="4" t="s">
        <v>702</v>
      </c>
      <c r="J113" s="7" t="s">
        <v>22</v>
      </c>
      <c r="K113" s="4" t="s">
        <v>37</v>
      </c>
      <c r="L113" s="4" t="s">
        <v>24</v>
      </c>
    </row>
    <row r="114" spans="1:12" ht="43.2" customHeight="1" x14ac:dyDescent="0.3">
      <c r="A114" s="3" t="s">
        <v>703</v>
      </c>
      <c r="B114" s="4" t="s">
        <v>704</v>
      </c>
      <c r="C114" s="4" t="s">
        <v>705</v>
      </c>
      <c r="D114" s="5">
        <v>2025</v>
      </c>
      <c r="E114" s="3" t="s">
        <v>17</v>
      </c>
      <c r="F114" s="3" t="s">
        <v>18</v>
      </c>
      <c r="G114" s="4" t="s">
        <v>706</v>
      </c>
      <c r="H114" s="6" t="s">
        <v>707</v>
      </c>
      <c r="I114" s="4" t="s">
        <v>708</v>
      </c>
      <c r="J114" s="7" t="s">
        <v>22</v>
      </c>
      <c r="K114" s="4" t="s">
        <v>161</v>
      </c>
      <c r="L114" s="4" t="s">
        <v>24</v>
      </c>
    </row>
    <row r="115" spans="1:12" ht="43.2" customHeight="1" x14ac:dyDescent="0.3">
      <c r="A115" s="3" t="s">
        <v>709</v>
      </c>
      <c r="B115" s="4" t="s">
        <v>710</v>
      </c>
      <c r="C115" s="4" t="s">
        <v>711</v>
      </c>
      <c r="D115" s="5">
        <v>2025</v>
      </c>
      <c r="E115" s="3" t="s">
        <v>17</v>
      </c>
      <c r="F115" s="3" t="s">
        <v>18</v>
      </c>
      <c r="G115" s="4" t="s">
        <v>712</v>
      </c>
      <c r="H115" s="6" t="s">
        <v>713</v>
      </c>
      <c r="I115" s="4" t="s">
        <v>714</v>
      </c>
      <c r="J115" s="8" t="s">
        <v>50</v>
      </c>
      <c r="K115" s="4" t="s">
        <v>141</v>
      </c>
      <c r="L115" s="4" t="s">
        <v>52</v>
      </c>
    </row>
    <row r="116" spans="1:12" ht="43.2" customHeight="1" x14ac:dyDescent="0.3">
      <c r="A116" s="3" t="s">
        <v>715</v>
      </c>
      <c r="B116" s="4" t="s">
        <v>716</v>
      </c>
      <c r="C116" s="4" t="s">
        <v>717</v>
      </c>
      <c r="D116" s="5">
        <v>2025</v>
      </c>
      <c r="E116" s="3" t="s">
        <v>17</v>
      </c>
      <c r="F116" s="3" t="s">
        <v>18</v>
      </c>
      <c r="G116" s="4" t="s">
        <v>718</v>
      </c>
      <c r="H116" s="6" t="s">
        <v>719</v>
      </c>
      <c r="I116" s="4" t="s">
        <v>720</v>
      </c>
      <c r="J116" s="7" t="s">
        <v>22</v>
      </c>
      <c r="K116" s="4" t="s">
        <v>579</v>
      </c>
      <c r="L116" s="4" t="s">
        <v>73</v>
      </c>
    </row>
    <row r="117" spans="1:12" ht="43.2" customHeight="1" x14ac:dyDescent="0.3">
      <c r="A117" s="3" t="s">
        <v>721</v>
      </c>
      <c r="B117" s="4" t="s">
        <v>722</v>
      </c>
      <c r="C117" s="4" t="s">
        <v>723</v>
      </c>
      <c r="D117" s="5">
        <v>2025</v>
      </c>
      <c r="E117" s="3" t="s">
        <v>17</v>
      </c>
      <c r="F117" s="3" t="s">
        <v>18</v>
      </c>
      <c r="G117" s="4" t="s">
        <v>724</v>
      </c>
      <c r="H117" s="6" t="s">
        <v>725</v>
      </c>
      <c r="I117" s="4" t="s">
        <v>726</v>
      </c>
      <c r="J117" s="8" t="s">
        <v>50</v>
      </c>
      <c r="K117" s="4" t="s">
        <v>451</v>
      </c>
      <c r="L117" s="4" t="s">
        <v>52</v>
      </c>
    </row>
    <row r="118" spans="1:12" ht="43.2" customHeight="1" x14ac:dyDescent="0.3">
      <c r="A118" s="3" t="s">
        <v>727</v>
      </c>
      <c r="B118" s="4" t="s">
        <v>728</v>
      </c>
      <c r="C118" s="4" t="s">
        <v>729</v>
      </c>
      <c r="D118" s="5">
        <v>2025</v>
      </c>
      <c r="E118" s="3" t="s">
        <v>17</v>
      </c>
      <c r="F118" s="3" t="s">
        <v>18</v>
      </c>
      <c r="G118" s="4" t="s">
        <v>730</v>
      </c>
      <c r="H118" s="6" t="s">
        <v>731</v>
      </c>
      <c r="I118" s="4" t="s">
        <v>732</v>
      </c>
      <c r="J118" s="7" t="s">
        <v>22</v>
      </c>
      <c r="K118" s="4" t="s">
        <v>120</v>
      </c>
      <c r="L118" s="4" t="s">
        <v>24</v>
      </c>
    </row>
    <row r="119" spans="1:12" ht="43.2" customHeight="1" x14ac:dyDescent="0.3">
      <c r="A119" s="3" t="s">
        <v>733</v>
      </c>
      <c r="B119" s="4" t="s">
        <v>734</v>
      </c>
      <c r="C119" s="4" t="s">
        <v>735</v>
      </c>
      <c r="D119" s="5">
        <v>2012</v>
      </c>
      <c r="E119" s="3" t="s">
        <v>17</v>
      </c>
      <c r="F119" s="3" t="s">
        <v>18</v>
      </c>
      <c r="G119" s="4" t="s">
        <v>736</v>
      </c>
      <c r="H119" s="6" t="s">
        <v>737</v>
      </c>
      <c r="I119" s="4" t="s">
        <v>738</v>
      </c>
      <c r="J119" s="8" t="s">
        <v>50</v>
      </c>
      <c r="K119" s="4" t="s">
        <v>451</v>
      </c>
      <c r="L119" s="4" t="s">
        <v>52</v>
      </c>
    </row>
    <row r="120" spans="1:12" ht="43.2" customHeight="1" x14ac:dyDescent="0.3">
      <c r="A120" s="3" t="s">
        <v>739</v>
      </c>
      <c r="B120" s="4" t="s">
        <v>740</v>
      </c>
      <c r="C120" s="4" t="s">
        <v>741</v>
      </c>
      <c r="D120" s="5">
        <v>2025</v>
      </c>
      <c r="E120" s="3" t="s">
        <v>17</v>
      </c>
      <c r="F120" s="3" t="s">
        <v>18</v>
      </c>
      <c r="G120" s="4" t="s">
        <v>742</v>
      </c>
      <c r="H120" s="6" t="s">
        <v>743</v>
      </c>
      <c r="I120" s="4" t="s">
        <v>744</v>
      </c>
      <c r="J120" s="7" t="s">
        <v>22</v>
      </c>
      <c r="K120" s="4" t="s">
        <v>273</v>
      </c>
      <c r="L120" s="4" t="s">
        <v>24</v>
      </c>
    </row>
    <row r="121" spans="1:12" ht="43.2" customHeight="1" x14ac:dyDescent="0.3">
      <c r="A121" s="3" t="s">
        <v>745</v>
      </c>
      <c r="B121" s="4" t="s">
        <v>746</v>
      </c>
      <c r="C121" s="4" t="s">
        <v>747</v>
      </c>
      <c r="D121" s="5">
        <v>2022</v>
      </c>
      <c r="E121" s="3" t="s">
        <v>17</v>
      </c>
      <c r="F121" s="3" t="s">
        <v>18</v>
      </c>
      <c r="G121" s="4" t="s">
        <v>748</v>
      </c>
      <c r="H121" s="6" t="s">
        <v>749</v>
      </c>
      <c r="I121" s="4" t="s">
        <v>750</v>
      </c>
      <c r="J121" s="8" t="s">
        <v>50</v>
      </c>
      <c r="K121" s="4" t="s">
        <v>660</v>
      </c>
      <c r="L121" s="4" t="s">
        <v>52</v>
      </c>
    </row>
    <row r="122" spans="1:12" ht="43.2" customHeight="1" x14ac:dyDescent="0.3">
      <c r="A122" s="3" t="s">
        <v>751</v>
      </c>
      <c r="B122" s="4" t="s">
        <v>752</v>
      </c>
      <c r="C122" s="4" t="s">
        <v>753</v>
      </c>
      <c r="D122" s="5">
        <v>2025</v>
      </c>
      <c r="E122" s="3" t="s">
        <v>17</v>
      </c>
      <c r="F122" s="3" t="s">
        <v>18</v>
      </c>
      <c r="G122" s="4" t="s">
        <v>754</v>
      </c>
      <c r="H122" s="6" t="s">
        <v>755</v>
      </c>
      <c r="I122" s="4" t="s">
        <v>756</v>
      </c>
      <c r="J122" s="7" t="s">
        <v>22</v>
      </c>
      <c r="K122" s="4" t="s">
        <v>23</v>
      </c>
      <c r="L122" s="4" t="s">
        <v>24</v>
      </c>
    </row>
    <row r="123" spans="1:12" ht="43.2" customHeight="1" x14ac:dyDescent="0.3">
      <c r="A123" s="3" t="s">
        <v>757</v>
      </c>
      <c r="B123" s="4" t="s">
        <v>758</v>
      </c>
      <c r="C123" s="4" t="s">
        <v>759</v>
      </c>
      <c r="D123" s="5">
        <v>2025</v>
      </c>
      <c r="E123" s="3" t="s">
        <v>17</v>
      </c>
      <c r="F123" s="3" t="s">
        <v>18</v>
      </c>
      <c r="G123" s="4" t="s">
        <v>760</v>
      </c>
      <c r="H123" s="6" t="s">
        <v>761</v>
      </c>
      <c r="I123" s="4" t="s">
        <v>762</v>
      </c>
      <c r="J123" s="7" t="s">
        <v>22</v>
      </c>
      <c r="K123" s="4" t="s">
        <v>37</v>
      </c>
      <c r="L123" s="4" t="s">
        <v>24</v>
      </c>
    </row>
    <row r="124" spans="1:12" ht="43.2" customHeight="1" x14ac:dyDescent="0.3">
      <c r="A124" s="3" t="s">
        <v>763</v>
      </c>
      <c r="B124" s="4" t="s">
        <v>764</v>
      </c>
      <c r="C124" s="4" t="s">
        <v>765</v>
      </c>
      <c r="D124" s="5">
        <v>2011</v>
      </c>
      <c r="E124" s="3" t="s">
        <v>17</v>
      </c>
      <c r="F124" s="3" t="s">
        <v>18</v>
      </c>
      <c r="G124" s="4" t="s">
        <v>766</v>
      </c>
      <c r="H124" s="6" t="s">
        <v>767</v>
      </c>
      <c r="I124" s="4" t="s">
        <v>768</v>
      </c>
      <c r="J124" s="8" t="s">
        <v>50</v>
      </c>
      <c r="K124" s="4" t="s">
        <v>260</v>
      </c>
      <c r="L124" s="4" t="s">
        <v>52</v>
      </c>
    </row>
  </sheetData>
  <mergeCells count="2">
    <mergeCell ref="A2:L2"/>
    <mergeCell ref="A1:L1"/>
  </mergeCells>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4"/>
  <sheetViews>
    <sheetView workbookViewId="0">
      <selection sqref="A1:L1"/>
    </sheetView>
  </sheetViews>
  <sheetFormatPr defaultRowHeight="14.4" x14ac:dyDescent="0.3"/>
  <cols>
    <col min="1" max="1" width="15" customWidth="1"/>
    <col min="2" max="2" width="46" customWidth="1"/>
    <col min="3" max="3" width="34" customWidth="1"/>
    <col min="4" max="4" width="11" customWidth="1"/>
    <col min="5" max="5" width="18" customWidth="1"/>
    <col min="6" max="6" width="16" customWidth="1"/>
    <col min="7" max="7" width="24" customWidth="1"/>
    <col min="8" max="8" width="30" customWidth="1"/>
    <col min="9" max="9" width="80" customWidth="1"/>
    <col min="10" max="10" width="18" customWidth="1"/>
    <col min="11" max="11" width="26" customWidth="1"/>
    <col min="12" max="12" width="34" customWidth="1"/>
  </cols>
  <sheetData>
    <row r="1" spans="1:12" ht="19.2" customHeight="1" x14ac:dyDescent="0.3">
      <c r="A1" s="31" t="s">
        <v>769</v>
      </c>
      <c r="B1" s="30"/>
      <c r="C1" s="30"/>
      <c r="D1" s="30"/>
      <c r="E1" s="30"/>
      <c r="F1" s="30"/>
      <c r="G1" s="30"/>
      <c r="H1" s="30"/>
      <c r="I1" s="30"/>
      <c r="J1" s="30"/>
      <c r="K1" s="30"/>
      <c r="L1" s="30"/>
    </row>
    <row r="2" spans="1:12" ht="28.8" customHeight="1" x14ac:dyDescent="0.3">
      <c r="A2" s="29" t="s">
        <v>1</v>
      </c>
      <c r="B2" s="30"/>
      <c r="C2" s="30"/>
      <c r="D2" s="30"/>
      <c r="E2" s="30"/>
      <c r="F2" s="30"/>
      <c r="G2" s="30"/>
      <c r="H2" s="30"/>
      <c r="I2" s="30"/>
      <c r="J2" s="30"/>
      <c r="K2" s="30"/>
      <c r="L2" s="30"/>
    </row>
    <row r="4" spans="1:12" ht="28.8" x14ac:dyDescent="0.3">
      <c r="A4" s="2" t="s">
        <v>2</v>
      </c>
      <c r="B4" s="2" t="s">
        <v>3</v>
      </c>
      <c r="C4" s="2" t="s">
        <v>4</v>
      </c>
      <c r="D4" s="2" t="s">
        <v>5</v>
      </c>
      <c r="E4" s="2" t="s">
        <v>6</v>
      </c>
      <c r="F4" s="2" t="s">
        <v>7</v>
      </c>
      <c r="G4" s="2" t="s">
        <v>8</v>
      </c>
      <c r="H4" s="2" t="s">
        <v>9</v>
      </c>
      <c r="I4" s="2" t="s">
        <v>10</v>
      </c>
      <c r="J4" s="2" t="s">
        <v>11</v>
      </c>
      <c r="K4" s="2" t="s">
        <v>12</v>
      </c>
      <c r="L4" s="2" t="s">
        <v>13</v>
      </c>
    </row>
    <row r="5" spans="1:12" ht="43.2" customHeight="1" x14ac:dyDescent="0.3">
      <c r="A5" s="3" t="s">
        <v>770</v>
      </c>
      <c r="B5" s="4" t="s">
        <v>771</v>
      </c>
      <c r="C5" s="4" t="s">
        <v>772</v>
      </c>
      <c r="D5" s="5">
        <v>2026</v>
      </c>
      <c r="E5" s="3" t="s">
        <v>773</v>
      </c>
      <c r="F5" s="3" t="s">
        <v>18</v>
      </c>
      <c r="G5" s="4" t="s">
        <v>774</v>
      </c>
      <c r="H5" s="6" t="s">
        <v>775</v>
      </c>
      <c r="I5" s="4" t="s">
        <v>776</v>
      </c>
      <c r="J5" s="8" t="s">
        <v>50</v>
      </c>
      <c r="K5" s="4" t="s">
        <v>660</v>
      </c>
      <c r="L5" s="4" t="s">
        <v>81</v>
      </c>
    </row>
    <row r="6" spans="1:12" ht="43.2" customHeight="1" x14ac:dyDescent="0.3">
      <c r="A6" s="3" t="s">
        <v>777</v>
      </c>
      <c r="B6" s="4" t="s">
        <v>778</v>
      </c>
      <c r="C6" s="4" t="s">
        <v>779</v>
      </c>
      <c r="D6" s="5">
        <v>2025</v>
      </c>
      <c r="E6" s="3" t="s">
        <v>773</v>
      </c>
      <c r="F6" s="3" t="s">
        <v>18</v>
      </c>
      <c r="G6" s="4" t="s">
        <v>780</v>
      </c>
      <c r="H6" s="6" t="s">
        <v>781</v>
      </c>
      <c r="I6" s="4" t="s">
        <v>782</v>
      </c>
      <c r="J6" s="8" t="s">
        <v>50</v>
      </c>
      <c r="K6" s="4" t="s">
        <v>660</v>
      </c>
      <c r="L6" s="4" t="s">
        <v>81</v>
      </c>
    </row>
    <row r="7" spans="1:12" ht="43.2" customHeight="1" x14ac:dyDescent="0.3">
      <c r="A7" s="3" t="s">
        <v>783</v>
      </c>
      <c r="B7" s="4" t="s">
        <v>784</v>
      </c>
      <c r="C7" s="4" t="s">
        <v>785</v>
      </c>
      <c r="D7" s="5">
        <v>2026</v>
      </c>
      <c r="E7" s="3" t="s">
        <v>773</v>
      </c>
      <c r="F7" s="3" t="s">
        <v>18</v>
      </c>
      <c r="G7" s="4" t="s">
        <v>786</v>
      </c>
      <c r="H7" s="6" t="s">
        <v>787</v>
      </c>
      <c r="I7" s="4" t="s">
        <v>788</v>
      </c>
      <c r="J7" s="8" t="s">
        <v>50</v>
      </c>
      <c r="K7" s="4" t="s">
        <v>660</v>
      </c>
      <c r="L7" s="4" t="s">
        <v>81</v>
      </c>
    </row>
    <row r="8" spans="1:12" ht="43.2" customHeight="1" x14ac:dyDescent="0.3">
      <c r="A8" s="3" t="s">
        <v>789</v>
      </c>
      <c r="B8" s="4" t="s">
        <v>790</v>
      </c>
      <c r="C8" s="4" t="s">
        <v>791</v>
      </c>
      <c r="D8" s="5">
        <v>2025</v>
      </c>
      <c r="E8" s="3" t="s">
        <v>773</v>
      </c>
      <c r="F8" s="3" t="s">
        <v>18</v>
      </c>
      <c r="G8" s="4" t="s">
        <v>792</v>
      </c>
      <c r="H8" s="6" t="s">
        <v>793</v>
      </c>
      <c r="I8" s="4" t="s">
        <v>794</v>
      </c>
      <c r="J8" s="8" t="s">
        <v>50</v>
      </c>
      <c r="K8" s="4" t="s">
        <v>451</v>
      </c>
      <c r="L8" s="4" t="s">
        <v>81</v>
      </c>
    </row>
    <row r="9" spans="1:12" ht="43.2" customHeight="1" x14ac:dyDescent="0.3">
      <c r="A9" s="3" t="s">
        <v>795</v>
      </c>
      <c r="B9" s="4" t="s">
        <v>796</v>
      </c>
      <c r="C9" s="4" t="s">
        <v>797</v>
      </c>
      <c r="D9" s="5">
        <v>2025</v>
      </c>
      <c r="E9" s="3" t="s">
        <v>773</v>
      </c>
      <c r="F9" s="3" t="s">
        <v>18</v>
      </c>
      <c r="G9" s="4" t="s">
        <v>798</v>
      </c>
      <c r="H9" s="6" t="s">
        <v>799</v>
      </c>
      <c r="I9" s="4" t="s">
        <v>800</v>
      </c>
      <c r="J9" s="8" t="s">
        <v>50</v>
      </c>
      <c r="K9" s="4" t="s">
        <v>37</v>
      </c>
      <c r="L9" s="4" t="s">
        <v>81</v>
      </c>
    </row>
    <row r="10" spans="1:12" ht="43.2" customHeight="1" x14ac:dyDescent="0.3">
      <c r="A10" s="3" t="s">
        <v>801</v>
      </c>
      <c r="B10" s="4" t="s">
        <v>802</v>
      </c>
      <c r="C10" s="4" t="s">
        <v>803</v>
      </c>
      <c r="D10" s="5">
        <v>2025</v>
      </c>
      <c r="E10" s="3" t="s">
        <v>773</v>
      </c>
      <c r="F10" s="3" t="s">
        <v>18</v>
      </c>
      <c r="G10" s="4" t="s">
        <v>804</v>
      </c>
      <c r="H10" s="6" t="s">
        <v>805</v>
      </c>
      <c r="I10" s="4" t="s">
        <v>806</v>
      </c>
      <c r="J10" s="8" t="s">
        <v>50</v>
      </c>
      <c r="K10" s="4" t="s">
        <v>37</v>
      </c>
      <c r="L10" s="4" t="s">
        <v>81</v>
      </c>
    </row>
    <row r="11" spans="1:12" ht="43.2" customHeight="1" x14ac:dyDescent="0.3">
      <c r="A11" s="3" t="s">
        <v>807</v>
      </c>
      <c r="B11" s="4" t="s">
        <v>808</v>
      </c>
      <c r="C11" s="4" t="s">
        <v>809</v>
      </c>
      <c r="D11" s="5">
        <v>2025</v>
      </c>
      <c r="E11" s="3" t="s">
        <v>773</v>
      </c>
      <c r="F11" s="3" t="s">
        <v>18</v>
      </c>
      <c r="G11" s="4" t="s">
        <v>810</v>
      </c>
      <c r="H11" s="6" t="s">
        <v>811</v>
      </c>
      <c r="I11" s="4" t="s">
        <v>812</v>
      </c>
      <c r="J11" s="8" t="s">
        <v>50</v>
      </c>
      <c r="K11" s="4" t="s">
        <v>66</v>
      </c>
      <c r="L11" s="4" t="s">
        <v>81</v>
      </c>
    </row>
    <row r="12" spans="1:12" ht="43.2" customHeight="1" x14ac:dyDescent="0.3">
      <c r="A12" s="3" t="s">
        <v>813</v>
      </c>
      <c r="B12" s="4" t="s">
        <v>814</v>
      </c>
      <c r="C12" s="4" t="s">
        <v>815</v>
      </c>
      <c r="D12" s="5">
        <v>2025</v>
      </c>
      <c r="E12" s="3" t="s">
        <v>773</v>
      </c>
      <c r="F12" s="3" t="s">
        <v>18</v>
      </c>
      <c r="G12" s="4" t="s">
        <v>816</v>
      </c>
      <c r="H12" s="6" t="s">
        <v>817</v>
      </c>
      <c r="I12" s="4" t="s">
        <v>818</v>
      </c>
      <c r="J12" s="8" t="s">
        <v>50</v>
      </c>
      <c r="K12" s="4" t="s">
        <v>127</v>
      </c>
      <c r="L12" s="4" t="s">
        <v>81</v>
      </c>
    </row>
    <row r="13" spans="1:12" ht="43.2" customHeight="1" x14ac:dyDescent="0.3">
      <c r="A13" s="3" t="s">
        <v>819</v>
      </c>
      <c r="B13" s="4" t="s">
        <v>820</v>
      </c>
      <c r="C13" s="4" t="s">
        <v>821</v>
      </c>
      <c r="D13" s="5">
        <v>2025</v>
      </c>
      <c r="E13" s="3" t="s">
        <v>773</v>
      </c>
      <c r="F13" s="3" t="s">
        <v>18</v>
      </c>
      <c r="G13" s="4" t="s">
        <v>822</v>
      </c>
      <c r="H13" s="6" t="s">
        <v>823</v>
      </c>
      <c r="I13" s="4" t="s">
        <v>824</v>
      </c>
      <c r="J13" s="7" t="s">
        <v>22</v>
      </c>
      <c r="K13" s="4" t="s">
        <v>37</v>
      </c>
      <c r="L13" s="4" t="s">
        <v>73</v>
      </c>
    </row>
    <row r="14" spans="1:12" ht="43.2" customHeight="1" x14ac:dyDescent="0.3">
      <c r="A14" s="3" t="s">
        <v>825</v>
      </c>
      <c r="B14" s="4" t="s">
        <v>826</v>
      </c>
      <c r="C14" s="4" t="s">
        <v>827</v>
      </c>
      <c r="D14" s="5">
        <v>2025</v>
      </c>
      <c r="E14" s="3" t="s">
        <v>773</v>
      </c>
      <c r="F14" s="3" t="s">
        <v>18</v>
      </c>
      <c r="G14" s="4" t="s">
        <v>828</v>
      </c>
      <c r="H14" s="6" t="s">
        <v>829</v>
      </c>
      <c r="I14" s="4" t="s">
        <v>830</v>
      </c>
      <c r="J14" s="8" t="s">
        <v>50</v>
      </c>
      <c r="K14" s="4" t="s">
        <v>660</v>
      </c>
      <c r="L14" s="4" t="s">
        <v>81</v>
      </c>
    </row>
    <row r="15" spans="1:12" ht="43.2" customHeight="1" x14ac:dyDescent="0.3">
      <c r="A15" s="3" t="s">
        <v>831</v>
      </c>
      <c r="B15" s="4" t="s">
        <v>832</v>
      </c>
      <c r="C15" s="4" t="s">
        <v>833</v>
      </c>
      <c r="D15" s="5">
        <v>2025</v>
      </c>
      <c r="E15" s="3" t="s">
        <v>773</v>
      </c>
      <c r="F15" s="3" t="s">
        <v>18</v>
      </c>
      <c r="G15" s="4" t="s">
        <v>834</v>
      </c>
      <c r="H15" s="6" t="s">
        <v>835</v>
      </c>
      <c r="I15" s="4" t="s">
        <v>836</v>
      </c>
      <c r="J15" s="8" t="s">
        <v>50</v>
      </c>
      <c r="K15" s="4" t="s">
        <v>210</v>
      </c>
      <c r="L15" s="4" t="s">
        <v>81</v>
      </c>
    </row>
    <row r="16" spans="1:12" ht="43.2" customHeight="1" x14ac:dyDescent="0.3">
      <c r="A16" s="3" t="s">
        <v>837</v>
      </c>
      <c r="B16" s="4" t="s">
        <v>838</v>
      </c>
      <c r="C16" s="4" t="s">
        <v>839</v>
      </c>
      <c r="D16" s="5">
        <v>2026</v>
      </c>
      <c r="E16" s="3" t="s">
        <v>773</v>
      </c>
      <c r="F16" s="3" t="s">
        <v>18</v>
      </c>
      <c r="G16" s="4" t="s">
        <v>840</v>
      </c>
      <c r="H16" s="6" t="s">
        <v>841</v>
      </c>
      <c r="I16" s="4" t="s">
        <v>842</v>
      </c>
      <c r="J16" s="8" t="s">
        <v>50</v>
      </c>
      <c r="K16" s="4" t="s">
        <v>127</v>
      </c>
      <c r="L16" s="4" t="s">
        <v>81</v>
      </c>
    </row>
    <row r="17" spans="1:12" ht="43.2" customHeight="1" x14ac:dyDescent="0.3">
      <c r="A17" s="3" t="s">
        <v>843</v>
      </c>
      <c r="B17" s="4" t="s">
        <v>844</v>
      </c>
      <c r="C17" s="4" t="s">
        <v>845</v>
      </c>
      <c r="D17" s="5">
        <v>2025</v>
      </c>
      <c r="E17" s="3" t="s">
        <v>773</v>
      </c>
      <c r="F17" s="3" t="s">
        <v>18</v>
      </c>
      <c r="G17" s="4" t="s">
        <v>846</v>
      </c>
      <c r="H17" s="6" t="s">
        <v>847</v>
      </c>
      <c r="I17" s="4" t="s">
        <v>848</v>
      </c>
      <c r="J17" s="8" t="s">
        <v>50</v>
      </c>
      <c r="K17" s="4" t="s">
        <v>127</v>
      </c>
      <c r="L17" s="4" t="s">
        <v>81</v>
      </c>
    </row>
    <row r="18" spans="1:12" ht="43.2" customHeight="1" x14ac:dyDescent="0.3">
      <c r="A18" s="3" t="s">
        <v>849</v>
      </c>
      <c r="B18" s="4" t="s">
        <v>850</v>
      </c>
      <c r="C18" s="4" t="s">
        <v>851</v>
      </c>
      <c r="D18" s="5">
        <v>2025</v>
      </c>
      <c r="E18" s="3" t="s">
        <v>773</v>
      </c>
      <c r="F18" s="3" t="s">
        <v>18</v>
      </c>
      <c r="G18" s="4" t="s">
        <v>852</v>
      </c>
      <c r="H18" s="6" t="s">
        <v>853</v>
      </c>
      <c r="I18" s="4" t="s">
        <v>854</v>
      </c>
      <c r="J18" s="8" t="s">
        <v>50</v>
      </c>
      <c r="K18" s="4" t="s">
        <v>660</v>
      </c>
      <c r="L18" s="4" t="s">
        <v>81</v>
      </c>
    </row>
    <row r="19" spans="1:12" ht="43.2" customHeight="1" x14ac:dyDescent="0.3">
      <c r="A19" s="3" t="s">
        <v>855</v>
      </c>
      <c r="B19" s="4" t="s">
        <v>856</v>
      </c>
      <c r="C19" s="4" t="s">
        <v>857</v>
      </c>
      <c r="D19" s="5">
        <v>2025</v>
      </c>
      <c r="E19" s="3" t="s">
        <v>773</v>
      </c>
      <c r="F19" s="3" t="s">
        <v>18</v>
      </c>
      <c r="G19" s="4" t="s">
        <v>858</v>
      </c>
      <c r="H19" s="6" t="s">
        <v>859</v>
      </c>
      <c r="I19" s="4" t="s">
        <v>860</v>
      </c>
      <c r="J19" s="7" t="s">
        <v>22</v>
      </c>
      <c r="K19" s="4" t="s">
        <v>660</v>
      </c>
      <c r="L19" s="4" t="s">
        <v>73</v>
      </c>
    </row>
    <row r="20" spans="1:12" ht="43.2" customHeight="1" x14ac:dyDescent="0.3">
      <c r="A20" s="3" t="s">
        <v>861</v>
      </c>
      <c r="B20" s="4" t="s">
        <v>862</v>
      </c>
      <c r="C20" s="4" t="s">
        <v>863</v>
      </c>
      <c r="D20" s="5">
        <v>2024</v>
      </c>
      <c r="E20" s="3" t="s">
        <v>773</v>
      </c>
      <c r="F20" s="3" t="s">
        <v>18</v>
      </c>
      <c r="G20" s="4" t="s">
        <v>864</v>
      </c>
      <c r="H20" s="6" t="s">
        <v>865</v>
      </c>
      <c r="I20" s="4" t="s">
        <v>866</v>
      </c>
      <c r="J20" s="8" t="s">
        <v>50</v>
      </c>
      <c r="K20" s="4" t="s">
        <v>101</v>
      </c>
      <c r="L20" s="4" t="s">
        <v>52</v>
      </c>
    </row>
    <row r="21" spans="1:12" ht="43.2" customHeight="1" x14ac:dyDescent="0.3">
      <c r="A21" s="3" t="s">
        <v>867</v>
      </c>
      <c r="B21" s="4" t="s">
        <v>868</v>
      </c>
      <c r="C21" s="4" t="s">
        <v>869</v>
      </c>
      <c r="D21" s="5">
        <v>2025</v>
      </c>
      <c r="E21" s="3" t="s">
        <v>773</v>
      </c>
      <c r="F21" s="3" t="s">
        <v>18</v>
      </c>
      <c r="G21" s="4" t="s">
        <v>870</v>
      </c>
      <c r="H21" s="6" t="s">
        <v>871</v>
      </c>
      <c r="I21" s="4" t="s">
        <v>872</v>
      </c>
      <c r="J21" s="8" t="s">
        <v>50</v>
      </c>
      <c r="K21" s="4" t="s">
        <v>127</v>
      </c>
      <c r="L21" s="4" t="s">
        <v>81</v>
      </c>
    </row>
    <row r="22" spans="1:12" ht="43.2" customHeight="1" x14ac:dyDescent="0.3">
      <c r="A22" s="3" t="s">
        <v>873</v>
      </c>
      <c r="B22" s="4" t="s">
        <v>874</v>
      </c>
      <c r="C22" s="4" t="s">
        <v>875</v>
      </c>
      <c r="D22" s="5">
        <v>2024</v>
      </c>
      <c r="E22" s="3" t="s">
        <v>773</v>
      </c>
      <c r="F22" s="3" t="s">
        <v>18</v>
      </c>
      <c r="G22" s="4" t="s">
        <v>876</v>
      </c>
      <c r="H22" s="6" t="s">
        <v>877</v>
      </c>
      <c r="I22" s="4" t="s">
        <v>878</v>
      </c>
      <c r="J22" s="8" t="s">
        <v>50</v>
      </c>
      <c r="K22" s="4" t="s">
        <v>127</v>
      </c>
      <c r="L22" s="4" t="s">
        <v>81</v>
      </c>
    </row>
    <row r="23" spans="1:12" ht="43.2" customHeight="1" x14ac:dyDescent="0.3">
      <c r="A23" s="3" t="s">
        <v>879</v>
      </c>
      <c r="B23" s="4" t="s">
        <v>880</v>
      </c>
      <c r="C23" s="4" t="s">
        <v>881</v>
      </c>
      <c r="D23" s="5">
        <v>2025</v>
      </c>
      <c r="E23" s="3" t="s">
        <v>773</v>
      </c>
      <c r="F23" s="3" t="s">
        <v>18</v>
      </c>
      <c r="G23" s="4" t="s">
        <v>882</v>
      </c>
      <c r="H23" s="6" t="s">
        <v>883</v>
      </c>
      <c r="I23" s="4" t="s">
        <v>884</v>
      </c>
      <c r="J23" s="8" t="s">
        <v>50</v>
      </c>
      <c r="K23" s="4" t="s">
        <v>885</v>
      </c>
      <c r="L23" s="4" t="s">
        <v>81</v>
      </c>
    </row>
    <row r="24" spans="1:12" ht="43.2" customHeight="1" x14ac:dyDescent="0.3">
      <c r="A24" s="3" t="s">
        <v>886</v>
      </c>
      <c r="B24" s="4" t="s">
        <v>887</v>
      </c>
      <c r="C24" s="4" t="s">
        <v>888</v>
      </c>
      <c r="D24" s="5">
        <v>2025</v>
      </c>
      <c r="E24" s="3" t="s">
        <v>773</v>
      </c>
      <c r="F24" s="3" t="s">
        <v>18</v>
      </c>
      <c r="G24" s="4" t="s">
        <v>889</v>
      </c>
      <c r="H24" s="6" t="s">
        <v>890</v>
      </c>
      <c r="I24" s="4" t="s">
        <v>891</v>
      </c>
      <c r="J24" s="8" t="s">
        <v>50</v>
      </c>
      <c r="K24" s="4" t="s">
        <v>451</v>
      </c>
      <c r="L24" s="4" t="s">
        <v>81</v>
      </c>
    </row>
    <row r="25" spans="1:12" ht="43.2" customHeight="1" x14ac:dyDescent="0.3">
      <c r="A25" s="3" t="s">
        <v>892</v>
      </c>
      <c r="B25" s="4" t="s">
        <v>893</v>
      </c>
      <c r="C25" s="4" t="s">
        <v>894</v>
      </c>
      <c r="D25" s="5">
        <v>2025</v>
      </c>
      <c r="E25" s="3" t="s">
        <v>773</v>
      </c>
      <c r="F25" s="3" t="s">
        <v>18</v>
      </c>
      <c r="G25" s="4" t="s">
        <v>895</v>
      </c>
      <c r="H25" s="6" t="s">
        <v>896</v>
      </c>
      <c r="I25" s="4" t="s">
        <v>897</v>
      </c>
      <c r="J25" s="7" t="s">
        <v>22</v>
      </c>
      <c r="K25" s="4" t="s">
        <v>898</v>
      </c>
      <c r="L25" s="4" t="s">
        <v>73</v>
      </c>
    </row>
    <row r="26" spans="1:12" ht="43.2" customHeight="1" x14ac:dyDescent="0.3">
      <c r="A26" s="3" t="s">
        <v>899</v>
      </c>
      <c r="B26" s="4" t="s">
        <v>900</v>
      </c>
      <c r="C26" s="4" t="s">
        <v>901</v>
      </c>
      <c r="D26" s="5">
        <v>2025</v>
      </c>
      <c r="E26" s="3" t="s">
        <v>773</v>
      </c>
      <c r="F26" s="3" t="s">
        <v>18</v>
      </c>
      <c r="G26" s="4" t="s">
        <v>902</v>
      </c>
      <c r="H26" s="6" t="s">
        <v>903</v>
      </c>
      <c r="I26" s="4" t="s">
        <v>904</v>
      </c>
      <c r="J26" s="7" t="s">
        <v>22</v>
      </c>
      <c r="K26" s="4" t="s">
        <v>161</v>
      </c>
      <c r="L26" s="4" t="s">
        <v>73</v>
      </c>
    </row>
    <row r="27" spans="1:12" ht="43.2" customHeight="1" x14ac:dyDescent="0.3">
      <c r="A27" s="3" t="s">
        <v>905</v>
      </c>
      <c r="B27" s="4" t="s">
        <v>906</v>
      </c>
      <c r="C27" s="4" t="s">
        <v>907</v>
      </c>
      <c r="D27" s="5">
        <v>2025</v>
      </c>
      <c r="E27" s="3" t="s">
        <v>773</v>
      </c>
      <c r="F27" s="3" t="s">
        <v>18</v>
      </c>
      <c r="G27" s="4" t="s">
        <v>908</v>
      </c>
      <c r="H27" s="6" t="s">
        <v>909</v>
      </c>
      <c r="I27" s="4" t="s">
        <v>910</v>
      </c>
      <c r="J27" s="8" t="s">
        <v>50</v>
      </c>
      <c r="K27" s="4" t="s">
        <v>37</v>
      </c>
      <c r="L27" s="4" t="s">
        <v>52</v>
      </c>
    </row>
    <row r="28" spans="1:12" ht="43.2" customHeight="1" x14ac:dyDescent="0.3">
      <c r="A28" s="3" t="s">
        <v>911</v>
      </c>
      <c r="B28" s="4" t="s">
        <v>912</v>
      </c>
      <c r="C28" s="4" t="s">
        <v>913</v>
      </c>
      <c r="D28" s="5">
        <v>2025</v>
      </c>
      <c r="E28" s="3" t="s">
        <v>773</v>
      </c>
      <c r="F28" s="3" t="s">
        <v>18</v>
      </c>
      <c r="G28" s="4" t="s">
        <v>914</v>
      </c>
      <c r="H28" s="6" t="s">
        <v>915</v>
      </c>
      <c r="I28" s="4" t="s">
        <v>916</v>
      </c>
      <c r="J28" s="7" t="s">
        <v>22</v>
      </c>
      <c r="K28" s="4" t="s">
        <v>23</v>
      </c>
      <c r="L28" s="4" t="s">
        <v>73</v>
      </c>
    </row>
    <row r="29" spans="1:12" ht="43.2" customHeight="1" x14ac:dyDescent="0.3">
      <c r="A29" s="3" t="s">
        <v>917</v>
      </c>
      <c r="B29" s="4" t="s">
        <v>918</v>
      </c>
      <c r="C29" s="4" t="s">
        <v>919</v>
      </c>
      <c r="D29" s="5">
        <v>2025</v>
      </c>
      <c r="E29" s="3" t="s">
        <v>773</v>
      </c>
      <c r="F29" s="3" t="s">
        <v>18</v>
      </c>
      <c r="G29" s="4" t="s">
        <v>920</v>
      </c>
      <c r="H29" s="6" t="s">
        <v>921</v>
      </c>
      <c r="I29" s="4" t="s">
        <v>922</v>
      </c>
      <c r="J29" s="8" t="s">
        <v>50</v>
      </c>
      <c r="K29" s="4" t="s">
        <v>273</v>
      </c>
      <c r="L29" s="4" t="s">
        <v>81</v>
      </c>
    </row>
    <row r="30" spans="1:12" ht="43.2" customHeight="1" x14ac:dyDescent="0.3">
      <c r="A30" s="3" t="s">
        <v>923</v>
      </c>
      <c r="B30" s="4" t="s">
        <v>924</v>
      </c>
      <c r="C30" s="4" t="s">
        <v>925</v>
      </c>
      <c r="D30" s="5">
        <v>2025</v>
      </c>
      <c r="E30" s="3" t="s">
        <v>773</v>
      </c>
      <c r="F30" s="3" t="s">
        <v>18</v>
      </c>
      <c r="G30" s="4" t="s">
        <v>926</v>
      </c>
      <c r="H30" s="6" t="s">
        <v>927</v>
      </c>
      <c r="I30" s="4" t="s">
        <v>928</v>
      </c>
      <c r="J30" s="7" t="s">
        <v>22</v>
      </c>
      <c r="K30" s="4" t="s">
        <v>120</v>
      </c>
      <c r="L30" s="4" t="s">
        <v>73</v>
      </c>
    </row>
    <row r="31" spans="1:12" ht="43.2" customHeight="1" x14ac:dyDescent="0.3">
      <c r="A31" s="3" t="s">
        <v>929</v>
      </c>
      <c r="B31" s="4" t="s">
        <v>930</v>
      </c>
      <c r="C31" s="4" t="s">
        <v>931</v>
      </c>
      <c r="D31" s="5">
        <v>2025</v>
      </c>
      <c r="E31" s="3" t="s">
        <v>773</v>
      </c>
      <c r="F31" s="3" t="s">
        <v>18</v>
      </c>
      <c r="G31" s="4" t="s">
        <v>932</v>
      </c>
      <c r="H31" s="6" t="s">
        <v>933</v>
      </c>
      <c r="I31" s="4" t="s">
        <v>934</v>
      </c>
      <c r="J31" s="8" t="s">
        <v>50</v>
      </c>
      <c r="K31" s="4" t="s">
        <v>127</v>
      </c>
      <c r="L31" s="4" t="s">
        <v>81</v>
      </c>
    </row>
    <row r="32" spans="1:12" ht="43.2" customHeight="1" x14ac:dyDescent="0.3">
      <c r="A32" s="3" t="s">
        <v>935</v>
      </c>
      <c r="B32" s="4" t="s">
        <v>936</v>
      </c>
      <c r="C32" s="4" t="s">
        <v>937</v>
      </c>
      <c r="D32" s="5">
        <v>2025</v>
      </c>
      <c r="E32" s="3" t="s">
        <v>773</v>
      </c>
      <c r="F32" s="3" t="s">
        <v>18</v>
      </c>
      <c r="G32" s="4" t="s">
        <v>938</v>
      </c>
      <c r="H32" s="6" t="s">
        <v>939</v>
      </c>
      <c r="I32" s="4" t="s">
        <v>940</v>
      </c>
      <c r="J32" s="8" t="s">
        <v>50</v>
      </c>
      <c r="K32" s="4" t="s">
        <v>127</v>
      </c>
      <c r="L32" s="4" t="s">
        <v>81</v>
      </c>
    </row>
    <row r="33" spans="1:12" ht="43.2" customHeight="1" x14ac:dyDescent="0.3">
      <c r="A33" s="3" t="s">
        <v>941</v>
      </c>
      <c r="B33" s="4" t="s">
        <v>942</v>
      </c>
      <c r="C33" s="4" t="s">
        <v>943</v>
      </c>
      <c r="D33" s="5">
        <v>2025</v>
      </c>
      <c r="E33" s="3" t="s">
        <v>773</v>
      </c>
      <c r="F33" s="3" t="s">
        <v>18</v>
      </c>
      <c r="G33" s="4" t="s">
        <v>944</v>
      </c>
      <c r="H33" s="6" t="s">
        <v>945</v>
      </c>
      <c r="I33" s="4" t="s">
        <v>946</v>
      </c>
      <c r="J33" s="8" t="s">
        <v>50</v>
      </c>
      <c r="K33" s="4" t="s">
        <v>451</v>
      </c>
      <c r="L33" s="4" t="s">
        <v>81</v>
      </c>
    </row>
    <row r="34" spans="1:12" ht="43.2" customHeight="1" x14ac:dyDescent="0.3">
      <c r="A34" s="3" t="s">
        <v>947</v>
      </c>
      <c r="B34" s="4" t="s">
        <v>948</v>
      </c>
      <c r="C34" s="4" t="s">
        <v>949</v>
      </c>
      <c r="D34" s="5">
        <v>2026</v>
      </c>
      <c r="E34" s="3" t="s">
        <v>773</v>
      </c>
      <c r="F34" s="3" t="s">
        <v>18</v>
      </c>
      <c r="G34" s="4" t="s">
        <v>950</v>
      </c>
      <c r="H34" s="6" t="s">
        <v>951</v>
      </c>
      <c r="I34" s="4" t="s">
        <v>952</v>
      </c>
      <c r="J34" s="8" t="s">
        <v>50</v>
      </c>
      <c r="K34" s="4" t="s">
        <v>953</v>
      </c>
      <c r="L34" s="4" t="s">
        <v>81</v>
      </c>
    </row>
    <row r="35" spans="1:12" ht="43.2" customHeight="1" x14ac:dyDescent="0.3">
      <c r="A35" s="3" t="s">
        <v>954</v>
      </c>
      <c r="B35" s="4" t="s">
        <v>955</v>
      </c>
      <c r="C35" s="4" t="s">
        <v>956</v>
      </c>
      <c r="D35" s="5">
        <v>2025</v>
      </c>
      <c r="E35" s="3" t="s">
        <v>773</v>
      </c>
      <c r="F35" s="3" t="s">
        <v>18</v>
      </c>
      <c r="G35" s="4" t="s">
        <v>957</v>
      </c>
      <c r="H35" s="6" t="s">
        <v>958</v>
      </c>
      <c r="I35" s="4" t="s">
        <v>959</v>
      </c>
      <c r="J35" s="7" t="s">
        <v>22</v>
      </c>
      <c r="K35" s="4" t="s">
        <v>37</v>
      </c>
      <c r="L35" s="4" t="s">
        <v>73</v>
      </c>
    </row>
    <row r="36" spans="1:12" ht="43.2" customHeight="1" x14ac:dyDescent="0.3">
      <c r="A36" s="3" t="s">
        <v>960</v>
      </c>
      <c r="B36" s="4" t="s">
        <v>961</v>
      </c>
      <c r="C36" s="4" t="s">
        <v>962</v>
      </c>
      <c r="D36" s="5">
        <v>2026</v>
      </c>
      <c r="E36" s="3" t="s">
        <v>773</v>
      </c>
      <c r="F36" s="3" t="s">
        <v>18</v>
      </c>
      <c r="G36" s="4" t="s">
        <v>963</v>
      </c>
      <c r="H36" s="6" t="s">
        <v>964</v>
      </c>
      <c r="I36" s="4" t="s">
        <v>965</v>
      </c>
      <c r="J36" s="7" t="s">
        <v>22</v>
      </c>
      <c r="K36" s="4" t="s">
        <v>660</v>
      </c>
      <c r="L36" s="4" t="s">
        <v>73</v>
      </c>
    </row>
    <row r="37" spans="1:12" ht="43.2" customHeight="1" x14ac:dyDescent="0.3">
      <c r="A37" s="3" t="s">
        <v>966</v>
      </c>
      <c r="B37" s="4" t="s">
        <v>967</v>
      </c>
      <c r="C37" s="4" t="s">
        <v>968</v>
      </c>
      <c r="D37" s="5">
        <v>2025</v>
      </c>
      <c r="E37" s="3" t="s">
        <v>773</v>
      </c>
      <c r="F37" s="3" t="s">
        <v>18</v>
      </c>
      <c r="G37" s="4" t="s">
        <v>969</v>
      </c>
      <c r="H37" s="6" t="s">
        <v>970</v>
      </c>
      <c r="I37" s="4" t="s">
        <v>971</v>
      </c>
      <c r="J37" s="8" t="s">
        <v>50</v>
      </c>
      <c r="K37" s="4" t="s">
        <v>23</v>
      </c>
      <c r="L37" s="4" t="s">
        <v>52</v>
      </c>
    </row>
    <row r="38" spans="1:12" ht="43.2" customHeight="1" x14ac:dyDescent="0.3">
      <c r="A38" s="3" t="s">
        <v>972</v>
      </c>
      <c r="B38" s="4" t="s">
        <v>973</v>
      </c>
      <c r="C38" s="4" t="s">
        <v>974</v>
      </c>
      <c r="D38" s="5">
        <v>2026</v>
      </c>
      <c r="E38" s="3" t="s">
        <v>773</v>
      </c>
      <c r="F38" s="3" t="s">
        <v>18</v>
      </c>
      <c r="G38" s="4" t="s">
        <v>975</v>
      </c>
      <c r="H38" s="6" t="s">
        <v>976</v>
      </c>
      <c r="I38" s="4" t="s">
        <v>977</v>
      </c>
      <c r="J38" s="8" t="s">
        <v>50</v>
      </c>
      <c r="K38" s="4" t="s">
        <v>978</v>
      </c>
      <c r="L38" s="4" t="s">
        <v>81</v>
      </c>
    </row>
    <row r="39" spans="1:12" ht="43.2" customHeight="1" x14ac:dyDescent="0.3">
      <c r="A39" s="3" t="s">
        <v>979</v>
      </c>
      <c r="B39" s="4" t="s">
        <v>980</v>
      </c>
      <c r="C39" s="4" t="s">
        <v>981</v>
      </c>
      <c r="D39" s="5">
        <v>2025</v>
      </c>
      <c r="E39" s="3" t="s">
        <v>773</v>
      </c>
      <c r="F39" s="3" t="s">
        <v>18</v>
      </c>
      <c r="G39" s="4" t="s">
        <v>982</v>
      </c>
      <c r="H39" s="6" t="s">
        <v>983</v>
      </c>
      <c r="I39" s="4" t="s">
        <v>984</v>
      </c>
      <c r="J39" s="8" t="s">
        <v>50</v>
      </c>
      <c r="K39" s="4" t="s">
        <v>37</v>
      </c>
      <c r="L39" s="4" t="s">
        <v>81</v>
      </c>
    </row>
    <row r="40" spans="1:12" ht="43.2" customHeight="1" x14ac:dyDescent="0.3">
      <c r="A40" s="3" t="s">
        <v>985</v>
      </c>
      <c r="B40" s="4" t="s">
        <v>986</v>
      </c>
      <c r="C40" s="4" t="s">
        <v>987</v>
      </c>
      <c r="D40" s="5">
        <v>2025</v>
      </c>
      <c r="E40" s="3" t="s">
        <v>773</v>
      </c>
      <c r="F40" s="3" t="s">
        <v>18</v>
      </c>
      <c r="G40" s="4" t="s">
        <v>988</v>
      </c>
      <c r="H40" s="6" t="s">
        <v>989</v>
      </c>
      <c r="I40" s="4" t="s">
        <v>990</v>
      </c>
      <c r="J40" s="8" t="s">
        <v>50</v>
      </c>
      <c r="K40" s="4" t="s">
        <v>260</v>
      </c>
      <c r="L40" s="4" t="s">
        <v>81</v>
      </c>
    </row>
    <row r="41" spans="1:12" ht="43.2" customHeight="1" x14ac:dyDescent="0.3">
      <c r="A41" s="3" t="s">
        <v>991</v>
      </c>
      <c r="B41" s="4" t="s">
        <v>992</v>
      </c>
      <c r="C41" s="4" t="s">
        <v>993</v>
      </c>
      <c r="D41" s="5">
        <v>2025</v>
      </c>
      <c r="E41" s="3" t="s">
        <v>773</v>
      </c>
      <c r="F41" s="3" t="s">
        <v>18</v>
      </c>
      <c r="G41" s="4" t="s">
        <v>994</v>
      </c>
      <c r="H41" s="6" t="s">
        <v>995</v>
      </c>
      <c r="I41" s="4" t="s">
        <v>996</v>
      </c>
      <c r="J41" s="8" t="s">
        <v>50</v>
      </c>
      <c r="K41" s="4" t="s">
        <v>134</v>
      </c>
      <c r="L41" s="4" t="s">
        <v>81</v>
      </c>
    </row>
    <row r="42" spans="1:12" ht="43.2" customHeight="1" x14ac:dyDescent="0.3">
      <c r="A42" s="3" t="s">
        <v>997</v>
      </c>
      <c r="B42" s="4" t="s">
        <v>998</v>
      </c>
      <c r="C42" s="4" t="s">
        <v>999</v>
      </c>
      <c r="D42" s="5">
        <v>2025</v>
      </c>
      <c r="E42" s="3" t="s">
        <v>773</v>
      </c>
      <c r="F42" s="3" t="s">
        <v>18</v>
      </c>
      <c r="G42" s="4" t="s">
        <v>1000</v>
      </c>
      <c r="H42" s="6" t="s">
        <v>1001</v>
      </c>
      <c r="I42" s="4" t="s">
        <v>1002</v>
      </c>
      <c r="J42" s="8" t="s">
        <v>50</v>
      </c>
      <c r="K42" s="4" t="s">
        <v>451</v>
      </c>
      <c r="L42" s="4" t="s">
        <v>81</v>
      </c>
    </row>
    <row r="43" spans="1:12" ht="43.2" customHeight="1" x14ac:dyDescent="0.3">
      <c r="A43" s="3" t="s">
        <v>1003</v>
      </c>
      <c r="B43" s="4" t="s">
        <v>1004</v>
      </c>
      <c r="C43" s="4" t="s">
        <v>1005</v>
      </c>
      <c r="D43" s="5">
        <v>2025</v>
      </c>
      <c r="E43" s="3" t="s">
        <v>773</v>
      </c>
      <c r="F43" s="3" t="s">
        <v>18</v>
      </c>
      <c r="G43" s="4" t="s">
        <v>1006</v>
      </c>
      <c r="H43" s="6" t="s">
        <v>1007</v>
      </c>
      <c r="I43" s="4" t="s">
        <v>1008</v>
      </c>
      <c r="J43" s="8" t="s">
        <v>50</v>
      </c>
      <c r="K43" s="4" t="s">
        <v>37</v>
      </c>
      <c r="L43" s="4" t="s">
        <v>81</v>
      </c>
    </row>
    <row r="44" spans="1:12" ht="43.2" customHeight="1" x14ac:dyDescent="0.3">
      <c r="A44" s="3" t="s">
        <v>1009</v>
      </c>
      <c r="B44" s="4" t="s">
        <v>1010</v>
      </c>
      <c r="C44" s="4" t="s">
        <v>1011</v>
      </c>
      <c r="D44" s="5">
        <v>2026</v>
      </c>
      <c r="E44" s="3" t="s">
        <v>773</v>
      </c>
      <c r="F44" s="3" t="s">
        <v>18</v>
      </c>
      <c r="G44" s="4" t="s">
        <v>1012</v>
      </c>
      <c r="H44" s="6" t="s">
        <v>1013</v>
      </c>
      <c r="I44" s="4" t="s">
        <v>1014</v>
      </c>
      <c r="J44" s="8" t="s">
        <v>50</v>
      </c>
      <c r="K44" s="4" t="s">
        <v>660</v>
      </c>
      <c r="L44" s="4" t="s">
        <v>81</v>
      </c>
    </row>
    <row r="45" spans="1:12" ht="43.2" customHeight="1" x14ac:dyDescent="0.3">
      <c r="A45" s="3" t="s">
        <v>1015</v>
      </c>
      <c r="B45" s="4" t="s">
        <v>1016</v>
      </c>
      <c r="C45" s="4" t="s">
        <v>1017</v>
      </c>
      <c r="D45" s="5">
        <v>2025</v>
      </c>
      <c r="E45" s="3" t="s">
        <v>773</v>
      </c>
      <c r="F45" s="3" t="s">
        <v>18</v>
      </c>
      <c r="G45" s="4" t="s">
        <v>1018</v>
      </c>
      <c r="H45" s="6" t="s">
        <v>1019</v>
      </c>
      <c r="I45" s="4" t="s">
        <v>1020</v>
      </c>
      <c r="J45" s="8" t="s">
        <v>50</v>
      </c>
      <c r="K45" s="4" t="s">
        <v>660</v>
      </c>
      <c r="L45" s="4" t="s">
        <v>81</v>
      </c>
    </row>
    <row r="46" spans="1:12" ht="43.2" customHeight="1" x14ac:dyDescent="0.3">
      <c r="A46" s="3" t="s">
        <v>1021</v>
      </c>
      <c r="B46" s="4" t="s">
        <v>1022</v>
      </c>
      <c r="C46" s="4" t="s">
        <v>1023</v>
      </c>
      <c r="D46" s="5">
        <v>2024</v>
      </c>
      <c r="E46" s="3" t="s">
        <v>773</v>
      </c>
      <c r="F46" s="3" t="s">
        <v>18</v>
      </c>
      <c r="G46" s="4" t="s">
        <v>1024</v>
      </c>
      <c r="H46" s="6" t="s">
        <v>1025</v>
      </c>
      <c r="I46" s="4" t="s">
        <v>1026</v>
      </c>
      <c r="J46" s="8" t="s">
        <v>50</v>
      </c>
      <c r="K46" s="4" t="s">
        <v>37</v>
      </c>
      <c r="L46" s="4" t="s">
        <v>52</v>
      </c>
    </row>
    <row r="47" spans="1:12" ht="43.2" customHeight="1" x14ac:dyDescent="0.3">
      <c r="A47" s="3" t="s">
        <v>1027</v>
      </c>
      <c r="B47" s="4" t="s">
        <v>1028</v>
      </c>
      <c r="C47" s="4" t="s">
        <v>1029</v>
      </c>
      <c r="D47" s="5">
        <v>2025</v>
      </c>
      <c r="E47" s="3" t="s">
        <v>773</v>
      </c>
      <c r="F47" s="3" t="s">
        <v>18</v>
      </c>
      <c r="G47" s="4" t="s">
        <v>1030</v>
      </c>
      <c r="H47" s="6" t="s">
        <v>1031</v>
      </c>
      <c r="I47" s="4" t="s">
        <v>1032</v>
      </c>
      <c r="J47" s="7" t="s">
        <v>22</v>
      </c>
      <c r="K47" s="4" t="s">
        <v>127</v>
      </c>
      <c r="L47" s="4" t="s">
        <v>73</v>
      </c>
    </row>
    <row r="48" spans="1:12" ht="43.2" customHeight="1" x14ac:dyDescent="0.3">
      <c r="A48" s="3" t="s">
        <v>1033</v>
      </c>
      <c r="B48" s="4" t="s">
        <v>1034</v>
      </c>
      <c r="C48" s="4" t="s">
        <v>1035</v>
      </c>
      <c r="D48" s="5">
        <v>2026</v>
      </c>
      <c r="E48" s="3" t="s">
        <v>773</v>
      </c>
      <c r="F48" s="3" t="s">
        <v>18</v>
      </c>
      <c r="G48" s="4" t="s">
        <v>1036</v>
      </c>
      <c r="H48" s="6" t="s">
        <v>1037</v>
      </c>
      <c r="I48" s="4" t="s">
        <v>1038</v>
      </c>
      <c r="J48" s="8" t="s">
        <v>50</v>
      </c>
      <c r="K48" s="4" t="s">
        <v>66</v>
      </c>
      <c r="L48" s="4" t="s">
        <v>81</v>
      </c>
    </row>
    <row r="49" spans="1:12" ht="43.2" customHeight="1" x14ac:dyDescent="0.3">
      <c r="A49" s="3" t="s">
        <v>1039</v>
      </c>
      <c r="B49" s="4" t="s">
        <v>1040</v>
      </c>
      <c r="C49" s="4" t="s">
        <v>1041</v>
      </c>
      <c r="D49" s="5">
        <v>2025</v>
      </c>
      <c r="E49" s="3" t="s">
        <v>773</v>
      </c>
      <c r="F49" s="3" t="s">
        <v>18</v>
      </c>
      <c r="G49" s="4" t="s">
        <v>1042</v>
      </c>
      <c r="H49" s="6" t="s">
        <v>1043</v>
      </c>
      <c r="I49" s="4" t="s">
        <v>1044</v>
      </c>
      <c r="J49" s="8" t="s">
        <v>50</v>
      </c>
      <c r="K49" s="4" t="s">
        <v>451</v>
      </c>
      <c r="L49" s="4" t="s">
        <v>81</v>
      </c>
    </row>
    <row r="50" spans="1:12" ht="43.2" customHeight="1" x14ac:dyDescent="0.3">
      <c r="A50" s="3" t="s">
        <v>1045</v>
      </c>
      <c r="B50" s="4" t="s">
        <v>1046</v>
      </c>
      <c r="C50" s="4" t="s">
        <v>1047</v>
      </c>
      <c r="D50" s="5">
        <v>2020</v>
      </c>
      <c r="E50" s="3" t="s">
        <v>773</v>
      </c>
      <c r="F50" s="3" t="s">
        <v>18</v>
      </c>
      <c r="G50" s="4" t="s">
        <v>1048</v>
      </c>
      <c r="H50" s="6" t="s">
        <v>1049</v>
      </c>
      <c r="I50" s="4" t="s">
        <v>1050</v>
      </c>
      <c r="J50" s="8" t="s">
        <v>50</v>
      </c>
      <c r="K50" s="4" t="s">
        <v>154</v>
      </c>
      <c r="L50" s="4" t="s">
        <v>52</v>
      </c>
    </row>
    <row r="51" spans="1:12" ht="43.2" customHeight="1" x14ac:dyDescent="0.3">
      <c r="A51" s="3" t="s">
        <v>1051</v>
      </c>
      <c r="B51" s="4" t="s">
        <v>1052</v>
      </c>
      <c r="C51" s="4" t="s">
        <v>1053</v>
      </c>
      <c r="D51" s="5">
        <v>2025</v>
      </c>
      <c r="E51" s="3" t="s">
        <v>773</v>
      </c>
      <c r="F51" s="3" t="s">
        <v>18</v>
      </c>
      <c r="G51" s="4" t="s">
        <v>1054</v>
      </c>
      <c r="H51" s="6" t="s">
        <v>1055</v>
      </c>
      <c r="I51" s="4" t="s">
        <v>1056</v>
      </c>
      <c r="J51" s="8" t="s">
        <v>50</v>
      </c>
      <c r="K51" s="4" t="s">
        <v>127</v>
      </c>
      <c r="L51" s="4" t="s">
        <v>81</v>
      </c>
    </row>
    <row r="52" spans="1:12" ht="43.2" customHeight="1" x14ac:dyDescent="0.3">
      <c r="A52" s="3" t="s">
        <v>1057</v>
      </c>
      <c r="B52" s="4" t="s">
        <v>1058</v>
      </c>
      <c r="C52" s="4" t="s">
        <v>1059</v>
      </c>
      <c r="D52" s="5">
        <v>2025</v>
      </c>
      <c r="E52" s="3" t="s">
        <v>773</v>
      </c>
      <c r="F52" s="3" t="s">
        <v>18</v>
      </c>
      <c r="G52" s="4" t="s">
        <v>1060</v>
      </c>
      <c r="H52" s="6" t="s">
        <v>1061</v>
      </c>
      <c r="I52" s="4" t="s">
        <v>1062</v>
      </c>
      <c r="J52" s="8" t="s">
        <v>50</v>
      </c>
      <c r="K52" s="4" t="s">
        <v>127</v>
      </c>
      <c r="L52" s="4" t="s">
        <v>52</v>
      </c>
    </row>
    <row r="53" spans="1:12" ht="43.2" customHeight="1" x14ac:dyDescent="0.3">
      <c r="A53" s="3" t="s">
        <v>1063</v>
      </c>
      <c r="B53" s="4" t="s">
        <v>1064</v>
      </c>
      <c r="C53" s="4" t="s">
        <v>1065</v>
      </c>
      <c r="D53" s="5">
        <v>2025</v>
      </c>
      <c r="E53" s="3" t="s">
        <v>773</v>
      </c>
      <c r="F53" s="3" t="s">
        <v>18</v>
      </c>
      <c r="G53" s="4" t="s">
        <v>1066</v>
      </c>
      <c r="H53" s="6" t="s">
        <v>1067</v>
      </c>
      <c r="I53" s="4" t="s">
        <v>1068</v>
      </c>
      <c r="J53" s="8" t="s">
        <v>50</v>
      </c>
      <c r="K53" s="4" t="s">
        <v>451</v>
      </c>
      <c r="L53" s="4" t="s">
        <v>81</v>
      </c>
    </row>
    <row r="54" spans="1:12" ht="43.2" customHeight="1" x14ac:dyDescent="0.3">
      <c r="A54" s="3" t="s">
        <v>1069</v>
      </c>
      <c r="B54" s="4" t="s">
        <v>1070</v>
      </c>
      <c r="C54" s="4" t="s">
        <v>1071</v>
      </c>
      <c r="D54" s="5">
        <v>2025</v>
      </c>
      <c r="E54" s="3" t="s">
        <v>773</v>
      </c>
      <c r="F54" s="3" t="s">
        <v>18</v>
      </c>
      <c r="G54" s="4" t="s">
        <v>1072</v>
      </c>
      <c r="H54" s="6" t="s">
        <v>1073</v>
      </c>
      <c r="I54" s="4" t="s">
        <v>1074</v>
      </c>
      <c r="J54" s="8" t="s">
        <v>50</v>
      </c>
      <c r="K54" s="4" t="s">
        <v>286</v>
      </c>
      <c r="L54" s="4" t="s">
        <v>81</v>
      </c>
    </row>
    <row r="55" spans="1:12" ht="43.2" customHeight="1" x14ac:dyDescent="0.3">
      <c r="A55" s="3" t="s">
        <v>1075</v>
      </c>
      <c r="B55" s="4" t="s">
        <v>1076</v>
      </c>
      <c r="C55" s="4" t="s">
        <v>1077</v>
      </c>
      <c r="D55" s="5">
        <v>2025</v>
      </c>
      <c r="E55" s="3" t="s">
        <v>773</v>
      </c>
      <c r="F55" s="3" t="s">
        <v>18</v>
      </c>
      <c r="G55" s="4" t="s">
        <v>1078</v>
      </c>
      <c r="H55" s="6" t="s">
        <v>1079</v>
      </c>
      <c r="I55" s="4" t="s">
        <v>1080</v>
      </c>
      <c r="J55" s="8" t="s">
        <v>50</v>
      </c>
      <c r="K55" s="4" t="s">
        <v>66</v>
      </c>
      <c r="L55" s="4" t="s">
        <v>52</v>
      </c>
    </row>
    <row r="56" spans="1:12" ht="43.2" customHeight="1" x14ac:dyDescent="0.3">
      <c r="A56" s="3" t="s">
        <v>1081</v>
      </c>
      <c r="B56" s="4" t="s">
        <v>1082</v>
      </c>
      <c r="C56" s="4" t="s">
        <v>1083</v>
      </c>
      <c r="D56" s="5">
        <v>2025</v>
      </c>
      <c r="E56" s="3" t="s">
        <v>773</v>
      </c>
      <c r="F56" s="3" t="s">
        <v>18</v>
      </c>
      <c r="G56" s="4" t="s">
        <v>1084</v>
      </c>
      <c r="H56" s="6" t="s">
        <v>1085</v>
      </c>
      <c r="I56" s="4" t="s">
        <v>1086</v>
      </c>
      <c r="J56" s="8" t="s">
        <v>50</v>
      </c>
      <c r="K56" s="4" t="s">
        <v>127</v>
      </c>
      <c r="L56" s="4" t="s">
        <v>81</v>
      </c>
    </row>
    <row r="57" spans="1:12" ht="43.2" customHeight="1" x14ac:dyDescent="0.3">
      <c r="A57" s="3" t="s">
        <v>1087</v>
      </c>
      <c r="B57" s="4" t="s">
        <v>1088</v>
      </c>
      <c r="C57" s="4" t="s">
        <v>1089</v>
      </c>
      <c r="D57" s="5">
        <v>2022</v>
      </c>
      <c r="E57" s="3" t="s">
        <v>773</v>
      </c>
      <c r="F57" s="3" t="s">
        <v>18</v>
      </c>
      <c r="G57" s="4" t="s">
        <v>1090</v>
      </c>
      <c r="H57" s="6" t="s">
        <v>1091</v>
      </c>
      <c r="I57" s="4" t="s">
        <v>1092</v>
      </c>
      <c r="J57" s="8" t="s">
        <v>50</v>
      </c>
      <c r="K57" s="4" t="s">
        <v>66</v>
      </c>
      <c r="L57" s="4" t="s">
        <v>52</v>
      </c>
    </row>
    <row r="58" spans="1:12" ht="43.2" customHeight="1" x14ac:dyDescent="0.3">
      <c r="A58" s="3" t="s">
        <v>1093</v>
      </c>
      <c r="B58" s="4" t="s">
        <v>1094</v>
      </c>
      <c r="C58" s="4" t="s">
        <v>1095</v>
      </c>
      <c r="D58" s="5">
        <v>2025</v>
      </c>
      <c r="E58" s="3" t="s">
        <v>773</v>
      </c>
      <c r="F58" s="3" t="s">
        <v>18</v>
      </c>
      <c r="G58" s="4" t="s">
        <v>1096</v>
      </c>
      <c r="H58" s="6" t="s">
        <v>1097</v>
      </c>
      <c r="I58" s="4" t="s">
        <v>1098</v>
      </c>
      <c r="J58" s="8" t="s">
        <v>50</v>
      </c>
      <c r="K58" s="4" t="s">
        <v>286</v>
      </c>
      <c r="L58" s="4" t="s">
        <v>81</v>
      </c>
    </row>
    <row r="59" spans="1:12" ht="43.2" customHeight="1" x14ac:dyDescent="0.3">
      <c r="A59" s="3" t="s">
        <v>1099</v>
      </c>
      <c r="B59" s="4" t="s">
        <v>1100</v>
      </c>
      <c r="C59" s="4" t="s">
        <v>1101</v>
      </c>
      <c r="D59" s="5">
        <v>2025</v>
      </c>
      <c r="E59" s="3" t="s">
        <v>773</v>
      </c>
      <c r="F59" s="3" t="s">
        <v>18</v>
      </c>
      <c r="G59" s="4" t="s">
        <v>1102</v>
      </c>
      <c r="H59" s="6" t="s">
        <v>1103</v>
      </c>
      <c r="I59" s="4" t="s">
        <v>1104</v>
      </c>
      <c r="J59" s="8" t="s">
        <v>50</v>
      </c>
      <c r="K59" s="4" t="s">
        <v>647</v>
      </c>
      <c r="L59" s="4" t="s">
        <v>81</v>
      </c>
    </row>
    <row r="60" spans="1:12" ht="43.2" customHeight="1" x14ac:dyDescent="0.3">
      <c r="A60" s="3" t="s">
        <v>1105</v>
      </c>
      <c r="B60" s="4" t="s">
        <v>1106</v>
      </c>
      <c r="C60" s="4" t="s">
        <v>1107</v>
      </c>
      <c r="D60" s="5">
        <v>2023</v>
      </c>
      <c r="E60" s="3" t="s">
        <v>773</v>
      </c>
      <c r="F60" s="3" t="s">
        <v>18</v>
      </c>
      <c r="G60" s="4" t="s">
        <v>1108</v>
      </c>
      <c r="H60" s="6" t="s">
        <v>1109</v>
      </c>
      <c r="I60" s="4" t="s">
        <v>1110</v>
      </c>
      <c r="J60" s="8" t="s">
        <v>50</v>
      </c>
      <c r="K60" s="4" t="s">
        <v>273</v>
      </c>
      <c r="L60" s="4" t="s">
        <v>52</v>
      </c>
    </row>
    <row r="61" spans="1:12" ht="43.2" customHeight="1" x14ac:dyDescent="0.3">
      <c r="A61" s="3" t="s">
        <v>1111</v>
      </c>
      <c r="B61" s="4" t="s">
        <v>1112</v>
      </c>
      <c r="C61" s="4" t="s">
        <v>1113</v>
      </c>
      <c r="D61" s="5">
        <v>2025</v>
      </c>
      <c r="E61" s="3" t="s">
        <v>773</v>
      </c>
      <c r="F61" s="3" t="s">
        <v>18</v>
      </c>
      <c r="G61" s="4" t="s">
        <v>1114</v>
      </c>
      <c r="H61" s="6" t="s">
        <v>1115</v>
      </c>
      <c r="I61" s="4" t="s">
        <v>1116</v>
      </c>
      <c r="J61" s="8" t="s">
        <v>50</v>
      </c>
      <c r="K61" s="4" t="s">
        <v>127</v>
      </c>
      <c r="L61" s="4" t="s">
        <v>81</v>
      </c>
    </row>
    <row r="62" spans="1:12" ht="43.2" customHeight="1" x14ac:dyDescent="0.3">
      <c r="A62" s="3" t="s">
        <v>1117</v>
      </c>
      <c r="B62" s="4" t="s">
        <v>1118</v>
      </c>
      <c r="C62" s="4" t="s">
        <v>1119</v>
      </c>
      <c r="D62" s="5">
        <v>2025</v>
      </c>
      <c r="E62" s="3" t="s">
        <v>773</v>
      </c>
      <c r="F62" s="3" t="s">
        <v>18</v>
      </c>
      <c r="G62" s="4" t="s">
        <v>1120</v>
      </c>
      <c r="H62" s="6" t="s">
        <v>1121</v>
      </c>
      <c r="I62" s="4" t="s">
        <v>1122</v>
      </c>
      <c r="J62" s="8" t="s">
        <v>50</v>
      </c>
      <c r="K62" s="4" t="s">
        <v>127</v>
      </c>
      <c r="L62" s="4" t="s">
        <v>81</v>
      </c>
    </row>
    <row r="63" spans="1:12" ht="43.2" customHeight="1" x14ac:dyDescent="0.3">
      <c r="A63" s="3" t="s">
        <v>1123</v>
      </c>
      <c r="B63" s="4" t="s">
        <v>1124</v>
      </c>
      <c r="C63" s="4" t="s">
        <v>1125</v>
      </c>
      <c r="D63" s="5">
        <v>2025</v>
      </c>
      <c r="E63" s="3" t="s">
        <v>773</v>
      </c>
      <c r="F63" s="3" t="s">
        <v>18</v>
      </c>
      <c r="G63" s="4" t="s">
        <v>1126</v>
      </c>
      <c r="H63" s="6" t="s">
        <v>1127</v>
      </c>
      <c r="I63" s="4" t="s">
        <v>1128</v>
      </c>
      <c r="J63" s="8" t="s">
        <v>50</v>
      </c>
      <c r="K63" s="4" t="s">
        <v>127</v>
      </c>
      <c r="L63" s="4" t="s">
        <v>52</v>
      </c>
    </row>
    <row r="64" spans="1:12" ht="43.2" customHeight="1" x14ac:dyDescent="0.3">
      <c r="A64" s="3" t="s">
        <v>1129</v>
      </c>
      <c r="B64" s="4" t="s">
        <v>1130</v>
      </c>
      <c r="C64" s="4" t="s">
        <v>1131</v>
      </c>
      <c r="D64" s="5">
        <v>2024</v>
      </c>
      <c r="E64" s="3" t="s">
        <v>773</v>
      </c>
      <c r="F64" s="3" t="s">
        <v>18</v>
      </c>
      <c r="G64" s="4" t="s">
        <v>1132</v>
      </c>
      <c r="H64" s="6" t="s">
        <v>1133</v>
      </c>
      <c r="I64" s="4" t="s">
        <v>1134</v>
      </c>
      <c r="J64" s="8" t="s">
        <v>50</v>
      </c>
      <c r="K64" s="4" t="s">
        <v>66</v>
      </c>
      <c r="L64" s="4" t="s">
        <v>52</v>
      </c>
    </row>
    <row r="65" spans="1:12" ht="43.2" customHeight="1" x14ac:dyDescent="0.3">
      <c r="A65" s="3" t="s">
        <v>1135</v>
      </c>
      <c r="B65" s="4" t="s">
        <v>1136</v>
      </c>
      <c r="C65" s="4" t="s">
        <v>1137</v>
      </c>
      <c r="D65" s="5">
        <v>2026</v>
      </c>
      <c r="E65" s="3" t="s">
        <v>773</v>
      </c>
      <c r="F65" s="3" t="s">
        <v>18</v>
      </c>
      <c r="G65" s="4" t="s">
        <v>1138</v>
      </c>
      <c r="H65" s="6" t="s">
        <v>1139</v>
      </c>
      <c r="I65" s="4" t="s">
        <v>1140</v>
      </c>
      <c r="J65" s="8" t="s">
        <v>50</v>
      </c>
      <c r="K65" s="4" t="s">
        <v>141</v>
      </c>
      <c r="L65" s="4" t="s">
        <v>81</v>
      </c>
    </row>
    <row r="66" spans="1:12" ht="43.2" customHeight="1" x14ac:dyDescent="0.3">
      <c r="A66" s="3" t="s">
        <v>1141</v>
      </c>
      <c r="B66" s="4" t="s">
        <v>1142</v>
      </c>
      <c r="C66" s="4" t="s">
        <v>1143</v>
      </c>
      <c r="D66" s="5">
        <v>2024</v>
      </c>
      <c r="E66" s="3" t="s">
        <v>773</v>
      </c>
      <c r="F66" s="3" t="s">
        <v>18</v>
      </c>
      <c r="G66" s="4" t="s">
        <v>1144</v>
      </c>
      <c r="H66" s="6" t="s">
        <v>1145</v>
      </c>
      <c r="I66" s="4" t="s">
        <v>1146</v>
      </c>
      <c r="J66" s="8" t="s">
        <v>50</v>
      </c>
      <c r="K66" s="4" t="s">
        <v>260</v>
      </c>
      <c r="L66" s="4" t="s">
        <v>81</v>
      </c>
    </row>
    <row r="67" spans="1:12" ht="43.2" customHeight="1" x14ac:dyDescent="0.3">
      <c r="A67" s="3" t="s">
        <v>1147</v>
      </c>
      <c r="B67" s="4" t="s">
        <v>1148</v>
      </c>
      <c r="C67" s="4" t="s">
        <v>1149</v>
      </c>
      <c r="D67" s="5">
        <v>2025</v>
      </c>
      <c r="E67" s="3" t="s">
        <v>773</v>
      </c>
      <c r="F67" s="3" t="s">
        <v>18</v>
      </c>
      <c r="G67" s="4" t="s">
        <v>1150</v>
      </c>
      <c r="H67" s="6" t="s">
        <v>1151</v>
      </c>
      <c r="I67" s="4" t="s">
        <v>1152</v>
      </c>
      <c r="J67" s="8" t="s">
        <v>50</v>
      </c>
      <c r="K67" s="4" t="s">
        <v>134</v>
      </c>
      <c r="L67" s="4" t="s">
        <v>81</v>
      </c>
    </row>
    <row r="68" spans="1:12" ht="43.2" customHeight="1" x14ac:dyDescent="0.3">
      <c r="A68" s="3" t="s">
        <v>1153</v>
      </c>
      <c r="B68" s="4" t="s">
        <v>1154</v>
      </c>
      <c r="C68" s="4" t="s">
        <v>1155</v>
      </c>
      <c r="D68" s="5">
        <v>2025</v>
      </c>
      <c r="E68" s="3" t="s">
        <v>773</v>
      </c>
      <c r="F68" s="3" t="s">
        <v>18</v>
      </c>
      <c r="G68" s="4" t="s">
        <v>1156</v>
      </c>
      <c r="H68" s="6" t="s">
        <v>1157</v>
      </c>
      <c r="I68" s="4" t="s">
        <v>1158</v>
      </c>
      <c r="J68" s="8" t="s">
        <v>50</v>
      </c>
      <c r="K68" s="4" t="s">
        <v>37</v>
      </c>
      <c r="L68" s="4" t="s">
        <v>81</v>
      </c>
    </row>
    <row r="69" spans="1:12" ht="43.2" customHeight="1" x14ac:dyDescent="0.3">
      <c r="A69" s="3" t="s">
        <v>1159</v>
      </c>
      <c r="B69" s="4" t="s">
        <v>1160</v>
      </c>
      <c r="C69" s="4" t="s">
        <v>1161</v>
      </c>
      <c r="D69" s="5">
        <v>2007</v>
      </c>
      <c r="E69" s="3" t="s">
        <v>773</v>
      </c>
      <c r="F69" s="3" t="s">
        <v>18</v>
      </c>
      <c r="G69" s="4" t="s">
        <v>1162</v>
      </c>
      <c r="H69" s="6" t="s">
        <v>1163</v>
      </c>
      <c r="I69" s="4" t="s">
        <v>1164</v>
      </c>
      <c r="J69" s="8" t="s">
        <v>50</v>
      </c>
      <c r="K69" s="4" t="s">
        <v>978</v>
      </c>
      <c r="L69" s="4" t="s">
        <v>52</v>
      </c>
    </row>
    <row r="70" spans="1:12" ht="43.2" customHeight="1" x14ac:dyDescent="0.3">
      <c r="A70" s="3" t="s">
        <v>1165</v>
      </c>
      <c r="B70" s="4" t="s">
        <v>1166</v>
      </c>
      <c r="C70" s="4" t="s">
        <v>1167</v>
      </c>
      <c r="D70" s="5">
        <v>2025</v>
      </c>
      <c r="E70" s="3" t="s">
        <v>773</v>
      </c>
      <c r="F70" s="3" t="s">
        <v>18</v>
      </c>
      <c r="G70" s="4" t="s">
        <v>1168</v>
      </c>
      <c r="H70" s="6" t="s">
        <v>1169</v>
      </c>
      <c r="I70" s="4" t="s">
        <v>1170</v>
      </c>
      <c r="J70" s="8" t="s">
        <v>50</v>
      </c>
      <c r="K70" s="4" t="s">
        <v>451</v>
      </c>
      <c r="L70" s="4" t="s">
        <v>81</v>
      </c>
    </row>
    <row r="71" spans="1:12" ht="43.2" customHeight="1" x14ac:dyDescent="0.3">
      <c r="A71" s="3" t="s">
        <v>1171</v>
      </c>
      <c r="B71" s="4" t="s">
        <v>1172</v>
      </c>
      <c r="C71" s="4" t="s">
        <v>1173</v>
      </c>
      <c r="D71" s="5">
        <v>2025</v>
      </c>
      <c r="E71" s="3" t="s">
        <v>773</v>
      </c>
      <c r="F71" s="3" t="s">
        <v>18</v>
      </c>
      <c r="G71" s="4" t="s">
        <v>1174</v>
      </c>
      <c r="H71" s="6" t="s">
        <v>1175</v>
      </c>
      <c r="I71" s="4" t="s">
        <v>1176</v>
      </c>
      <c r="J71" s="8" t="s">
        <v>50</v>
      </c>
      <c r="K71" s="4" t="s">
        <v>210</v>
      </c>
      <c r="L71" s="4" t="s">
        <v>81</v>
      </c>
    </row>
    <row r="72" spans="1:12" ht="43.2" customHeight="1" x14ac:dyDescent="0.3">
      <c r="A72" s="3" t="s">
        <v>1177</v>
      </c>
      <c r="B72" s="4" t="s">
        <v>1178</v>
      </c>
      <c r="C72" s="4" t="s">
        <v>1179</v>
      </c>
      <c r="D72" s="5">
        <v>2021</v>
      </c>
      <c r="E72" s="3" t="s">
        <v>773</v>
      </c>
      <c r="F72" s="3" t="s">
        <v>18</v>
      </c>
      <c r="G72" s="4" t="s">
        <v>1180</v>
      </c>
      <c r="H72" s="6" t="s">
        <v>1181</v>
      </c>
      <c r="I72" s="4" t="s">
        <v>1182</v>
      </c>
      <c r="J72" s="8" t="s">
        <v>50</v>
      </c>
      <c r="K72" s="4" t="s">
        <v>66</v>
      </c>
      <c r="L72" s="4" t="s">
        <v>52</v>
      </c>
    </row>
    <row r="73" spans="1:12" ht="43.2" customHeight="1" x14ac:dyDescent="0.3">
      <c r="A73" s="3" t="s">
        <v>1183</v>
      </c>
      <c r="B73" s="4" t="s">
        <v>1184</v>
      </c>
      <c r="C73" s="4" t="s">
        <v>1185</v>
      </c>
      <c r="D73" s="5">
        <v>2025</v>
      </c>
      <c r="E73" s="3" t="s">
        <v>773</v>
      </c>
      <c r="F73" s="3" t="s">
        <v>18</v>
      </c>
      <c r="G73" s="4" t="s">
        <v>1186</v>
      </c>
      <c r="H73" s="6" t="s">
        <v>1187</v>
      </c>
      <c r="I73" s="4" t="s">
        <v>1188</v>
      </c>
      <c r="J73" s="8" t="s">
        <v>50</v>
      </c>
      <c r="K73" s="4" t="s">
        <v>451</v>
      </c>
      <c r="L73" s="4" t="s">
        <v>81</v>
      </c>
    </row>
    <row r="74" spans="1:12" ht="43.2" customHeight="1" x14ac:dyDescent="0.3">
      <c r="A74" s="3" t="s">
        <v>1189</v>
      </c>
      <c r="B74" s="4" t="s">
        <v>1190</v>
      </c>
      <c r="C74" s="4" t="s">
        <v>1191</v>
      </c>
      <c r="D74" s="5">
        <v>2013</v>
      </c>
      <c r="E74" s="3" t="s">
        <v>773</v>
      </c>
      <c r="F74" s="3" t="s">
        <v>18</v>
      </c>
      <c r="G74" s="4" t="s">
        <v>1192</v>
      </c>
      <c r="H74" s="6" t="s">
        <v>1193</v>
      </c>
      <c r="I74" s="4" t="s">
        <v>1194</v>
      </c>
      <c r="J74" s="8" t="s">
        <v>50</v>
      </c>
      <c r="K74" s="4" t="s">
        <v>66</v>
      </c>
      <c r="L74" s="4" t="s">
        <v>52</v>
      </c>
    </row>
    <row r="75" spans="1:12" ht="43.2" customHeight="1" x14ac:dyDescent="0.3">
      <c r="A75" s="3" t="s">
        <v>1195</v>
      </c>
      <c r="B75" s="4" t="s">
        <v>1196</v>
      </c>
      <c r="C75" s="4" t="s">
        <v>1197</v>
      </c>
      <c r="D75" s="5">
        <v>2025</v>
      </c>
      <c r="E75" s="3" t="s">
        <v>773</v>
      </c>
      <c r="F75" s="3" t="s">
        <v>18</v>
      </c>
      <c r="G75" s="4" t="s">
        <v>1198</v>
      </c>
      <c r="H75" s="6" t="s">
        <v>1199</v>
      </c>
      <c r="I75" s="4" t="s">
        <v>1200</v>
      </c>
      <c r="J75" s="8" t="s">
        <v>50</v>
      </c>
      <c r="K75" s="4" t="s">
        <v>37</v>
      </c>
      <c r="L75" s="4" t="s">
        <v>81</v>
      </c>
    </row>
    <row r="76" spans="1:12" ht="43.2" customHeight="1" x14ac:dyDescent="0.3">
      <c r="A76" s="3" t="s">
        <v>1201</v>
      </c>
      <c r="B76" s="4" t="s">
        <v>1202</v>
      </c>
      <c r="C76" s="4" t="s">
        <v>1203</v>
      </c>
      <c r="D76" s="5">
        <v>2024</v>
      </c>
      <c r="E76" s="3" t="s">
        <v>773</v>
      </c>
      <c r="F76" s="3" t="s">
        <v>18</v>
      </c>
      <c r="G76" s="4" t="s">
        <v>1204</v>
      </c>
      <c r="H76" s="6" t="s">
        <v>1205</v>
      </c>
      <c r="I76" s="4" t="s">
        <v>1206</v>
      </c>
      <c r="J76" s="8" t="s">
        <v>50</v>
      </c>
      <c r="K76" s="4" t="s">
        <v>451</v>
      </c>
      <c r="L76" s="4" t="s">
        <v>52</v>
      </c>
    </row>
    <row r="77" spans="1:12" ht="43.2" customHeight="1" x14ac:dyDescent="0.3">
      <c r="A77" s="3" t="s">
        <v>1207</v>
      </c>
      <c r="B77" s="4" t="s">
        <v>1208</v>
      </c>
      <c r="C77" s="4" t="s">
        <v>1209</v>
      </c>
      <c r="D77" s="5">
        <v>2024</v>
      </c>
      <c r="E77" s="3" t="s">
        <v>773</v>
      </c>
      <c r="F77" s="3" t="s">
        <v>18</v>
      </c>
      <c r="G77" s="4" t="s">
        <v>1210</v>
      </c>
      <c r="H77" s="6" t="s">
        <v>1211</v>
      </c>
      <c r="I77" s="4" t="s">
        <v>1212</v>
      </c>
      <c r="J77" s="8" t="s">
        <v>50</v>
      </c>
      <c r="K77" s="4" t="s">
        <v>451</v>
      </c>
      <c r="L77" s="4" t="s">
        <v>81</v>
      </c>
    </row>
    <row r="78" spans="1:12" ht="43.2" customHeight="1" x14ac:dyDescent="0.3">
      <c r="A78" s="3" t="s">
        <v>1213</v>
      </c>
      <c r="B78" s="4" t="s">
        <v>1214</v>
      </c>
      <c r="C78" s="4" t="s">
        <v>1215</v>
      </c>
      <c r="D78" s="5">
        <v>2025</v>
      </c>
      <c r="E78" s="3" t="s">
        <v>773</v>
      </c>
      <c r="F78" s="3" t="s">
        <v>18</v>
      </c>
      <c r="G78" s="4" t="s">
        <v>1216</v>
      </c>
      <c r="H78" s="6" t="s">
        <v>1217</v>
      </c>
      <c r="I78" s="4" t="s">
        <v>1218</v>
      </c>
      <c r="J78" s="8" t="s">
        <v>50</v>
      </c>
      <c r="K78" s="4" t="s">
        <v>127</v>
      </c>
      <c r="L78" s="4" t="s">
        <v>81</v>
      </c>
    </row>
    <row r="79" spans="1:12" ht="43.2" customHeight="1" x14ac:dyDescent="0.3">
      <c r="A79" s="3" t="s">
        <v>1219</v>
      </c>
      <c r="B79" s="4" t="s">
        <v>1220</v>
      </c>
      <c r="C79" s="4" t="s">
        <v>1221</v>
      </c>
      <c r="D79" s="5">
        <v>2024</v>
      </c>
      <c r="E79" s="3" t="s">
        <v>773</v>
      </c>
      <c r="F79" s="3" t="s">
        <v>18</v>
      </c>
      <c r="G79" s="4" t="s">
        <v>1222</v>
      </c>
      <c r="H79" s="6" t="s">
        <v>1223</v>
      </c>
      <c r="I79" s="4" t="s">
        <v>1224</v>
      </c>
      <c r="J79" s="8" t="s">
        <v>50</v>
      </c>
      <c r="K79" s="4" t="s">
        <v>260</v>
      </c>
      <c r="L79" s="4" t="s">
        <v>81</v>
      </c>
    </row>
    <row r="80" spans="1:12" ht="43.2" customHeight="1" x14ac:dyDescent="0.3">
      <c r="A80" s="3" t="s">
        <v>1225</v>
      </c>
      <c r="B80" s="4" t="s">
        <v>1226</v>
      </c>
      <c r="C80" s="4" t="s">
        <v>1227</v>
      </c>
      <c r="D80" s="5">
        <v>2024</v>
      </c>
      <c r="E80" s="3" t="s">
        <v>773</v>
      </c>
      <c r="F80" s="3" t="s">
        <v>18</v>
      </c>
      <c r="G80" s="4" t="s">
        <v>1228</v>
      </c>
      <c r="H80" s="6" t="s">
        <v>1229</v>
      </c>
      <c r="I80" s="4" t="s">
        <v>1230</v>
      </c>
      <c r="J80" s="8" t="s">
        <v>50</v>
      </c>
      <c r="K80" s="4" t="s">
        <v>66</v>
      </c>
      <c r="L80" s="4" t="s">
        <v>81</v>
      </c>
    </row>
    <row r="81" spans="1:12" ht="43.2" customHeight="1" x14ac:dyDescent="0.3">
      <c r="A81" s="3" t="s">
        <v>1231</v>
      </c>
      <c r="B81" s="4" t="s">
        <v>1232</v>
      </c>
      <c r="C81" s="4" t="s">
        <v>1233</v>
      </c>
      <c r="D81" s="5">
        <v>2025</v>
      </c>
      <c r="E81" s="3" t="s">
        <v>773</v>
      </c>
      <c r="F81" s="3" t="s">
        <v>18</v>
      </c>
      <c r="G81" s="4" t="s">
        <v>1234</v>
      </c>
      <c r="H81" s="6" t="s">
        <v>1235</v>
      </c>
      <c r="I81" s="4" t="s">
        <v>1236</v>
      </c>
      <c r="J81" s="8" t="s">
        <v>50</v>
      </c>
      <c r="K81" s="4" t="s">
        <v>885</v>
      </c>
      <c r="L81" s="4" t="s">
        <v>81</v>
      </c>
    </row>
    <row r="82" spans="1:12" ht="43.2" customHeight="1" x14ac:dyDescent="0.3">
      <c r="A82" s="3" t="s">
        <v>1237</v>
      </c>
      <c r="B82" s="4" t="s">
        <v>1238</v>
      </c>
      <c r="C82" s="4" t="s">
        <v>1239</v>
      </c>
      <c r="D82" s="5">
        <v>2024</v>
      </c>
      <c r="E82" s="3" t="s">
        <v>773</v>
      </c>
      <c r="F82" s="3" t="s">
        <v>18</v>
      </c>
      <c r="G82" s="4" t="s">
        <v>1240</v>
      </c>
      <c r="H82" s="6" t="s">
        <v>1241</v>
      </c>
      <c r="I82" s="4" t="s">
        <v>1242</v>
      </c>
      <c r="J82" s="8" t="s">
        <v>50</v>
      </c>
      <c r="K82" s="4" t="s">
        <v>66</v>
      </c>
      <c r="L82" s="4" t="s">
        <v>52</v>
      </c>
    </row>
    <row r="83" spans="1:12" ht="43.2" customHeight="1" x14ac:dyDescent="0.3">
      <c r="A83" s="3" t="s">
        <v>1243</v>
      </c>
      <c r="B83" s="4" t="s">
        <v>1244</v>
      </c>
      <c r="C83" s="4" t="s">
        <v>1245</v>
      </c>
      <c r="D83" s="5">
        <v>2026</v>
      </c>
      <c r="E83" s="3" t="s">
        <v>773</v>
      </c>
      <c r="F83" s="3" t="s">
        <v>18</v>
      </c>
      <c r="G83" s="4" t="s">
        <v>1246</v>
      </c>
      <c r="H83" s="6" t="s">
        <v>1247</v>
      </c>
      <c r="I83" s="4" t="s">
        <v>1248</v>
      </c>
      <c r="J83" s="8" t="s">
        <v>50</v>
      </c>
      <c r="K83" s="4" t="s">
        <v>66</v>
      </c>
      <c r="L83" s="4" t="s">
        <v>81</v>
      </c>
    </row>
    <row r="84" spans="1:12" ht="43.2" customHeight="1" x14ac:dyDescent="0.3">
      <c r="A84" s="3" t="s">
        <v>1249</v>
      </c>
      <c r="B84" s="4" t="s">
        <v>1250</v>
      </c>
      <c r="C84" s="4" t="s">
        <v>1251</v>
      </c>
      <c r="D84" s="5">
        <v>2022</v>
      </c>
      <c r="E84" s="3" t="s">
        <v>773</v>
      </c>
      <c r="F84" s="3" t="s">
        <v>18</v>
      </c>
      <c r="G84" s="4" t="s">
        <v>1252</v>
      </c>
      <c r="H84" s="6" t="s">
        <v>1253</v>
      </c>
      <c r="I84" s="4" t="s">
        <v>1254</v>
      </c>
      <c r="J84" s="8" t="s">
        <v>50</v>
      </c>
      <c r="K84" s="4" t="s">
        <v>1255</v>
      </c>
      <c r="L84" s="4" t="s">
        <v>52</v>
      </c>
    </row>
    <row r="85" spans="1:12" ht="43.2" customHeight="1" x14ac:dyDescent="0.3">
      <c r="A85" s="3" t="s">
        <v>1256</v>
      </c>
      <c r="B85" s="4" t="s">
        <v>1257</v>
      </c>
      <c r="C85" s="4" t="s">
        <v>1258</v>
      </c>
      <c r="D85" s="5">
        <v>2013</v>
      </c>
      <c r="E85" s="3" t="s">
        <v>773</v>
      </c>
      <c r="F85" s="3" t="s">
        <v>18</v>
      </c>
      <c r="G85" s="4" t="s">
        <v>1259</v>
      </c>
      <c r="H85" s="6" t="s">
        <v>1260</v>
      </c>
      <c r="I85" s="4" t="s">
        <v>1261</v>
      </c>
      <c r="J85" s="8" t="s">
        <v>50</v>
      </c>
      <c r="K85" s="4" t="s">
        <v>120</v>
      </c>
      <c r="L85" s="4" t="s">
        <v>52</v>
      </c>
    </row>
    <row r="86" spans="1:12" ht="43.2" customHeight="1" x14ac:dyDescent="0.3">
      <c r="A86" s="3" t="s">
        <v>1262</v>
      </c>
      <c r="B86" s="4" t="s">
        <v>1263</v>
      </c>
      <c r="C86" s="4" t="s">
        <v>1264</v>
      </c>
      <c r="D86" s="5">
        <v>2024</v>
      </c>
      <c r="E86" s="3" t="s">
        <v>773</v>
      </c>
      <c r="F86" s="3" t="s">
        <v>18</v>
      </c>
      <c r="G86" s="4" t="s">
        <v>1265</v>
      </c>
      <c r="H86" s="6" t="s">
        <v>1266</v>
      </c>
      <c r="I86" s="4" t="s">
        <v>1267</v>
      </c>
      <c r="J86" s="8" t="s">
        <v>50</v>
      </c>
      <c r="K86" s="4" t="s">
        <v>451</v>
      </c>
      <c r="L86" s="4" t="s">
        <v>81</v>
      </c>
    </row>
    <row r="87" spans="1:12" ht="43.2" customHeight="1" x14ac:dyDescent="0.3">
      <c r="A87" s="3" t="s">
        <v>1268</v>
      </c>
      <c r="B87" s="4" t="s">
        <v>1269</v>
      </c>
      <c r="C87" s="4" t="s">
        <v>1270</v>
      </c>
      <c r="D87" s="5">
        <v>2023</v>
      </c>
      <c r="E87" s="3" t="s">
        <v>773</v>
      </c>
      <c r="F87" s="3" t="s">
        <v>18</v>
      </c>
      <c r="G87" s="4" t="s">
        <v>1271</v>
      </c>
      <c r="H87" s="6" t="s">
        <v>1272</v>
      </c>
      <c r="I87" s="4" t="s">
        <v>1273</v>
      </c>
      <c r="J87" s="8" t="s">
        <v>50</v>
      </c>
      <c r="K87" s="4" t="s">
        <v>451</v>
      </c>
      <c r="L87" s="4" t="s">
        <v>81</v>
      </c>
    </row>
    <row r="88" spans="1:12" ht="43.2" customHeight="1" x14ac:dyDescent="0.3">
      <c r="A88" s="3" t="s">
        <v>1274</v>
      </c>
      <c r="B88" s="4" t="s">
        <v>1275</v>
      </c>
      <c r="C88" s="4" t="s">
        <v>1276</v>
      </c>
      <c r="D88" s="5">
        <v>2025</v>
      </c>
      <c r="E88" s="3" t="s">
        <v>773</v>
      </c>
      <c r="F88" s="3" t="s">
        <v>18</v>
      </c>
      <c r="G88" s="4" t="s">
        <v>1277</v>
      </c>
      <c r="H88" s="6" t="s">
        <v>1278</v>
      </c>
      <c r="I88" s="4" t="s">
        <v>1279</v>
      </c>
      <c r="J88" s="8" t="s">
        <v>50</v>
      </c>
      <c r="K88" s="4" t="s">
        <v>660</v>
      </c>
      <c r="L88" s="4" t="s">
        <v>81</v>
      </c>
    </row>
    <row r="89" spans="1:12" ht="43.2" customHeight="1" x14ac:dyDescent="0.3">
      <c r="A89" s="3" t="s">
        <v>1280</v>
      </c>
      <c r="B89" s="4" t="s">
        <v>1281</v>
      </c>
      <c r="C89" s="4" t="s">
        <v>1282</v>
      </c>
      <c r="D89" s="5">
        <v>2016</v>
      </c>
      <c r="E89" s="3" t="s">
        <v>773</v>
      </c>
      <c r="F89" s="3" t="s">
        <v>18</v>
      </c>
      <c r="G89" s="4" t="s">
        <v>1283</v>
      </c>
      <c r="H89" s="6" t="s">
        <v>1284</v>
      </c>
      <c r="I89" s="4" t="s">
        <v>1285</v>
      </c>
      <c r="J89" s="8" t="s">
        <v>50</v>
      </c>
      <c r="K89" s="4" t="s">
        <v>66</v>
      </c>
      <c r="L89" s="4" t="s">
        <v>52</v>
      </c>
    </row>
    <row r="90" spans="1:12" ht="43.2" customHeight="1" x14ac:dyDescent="0.3">
      <c r="A90" s="3" t="s">
        <v>1286</v>
      </c>
      <c r="B90" s="4" t="s">
        <v>1287</v>
      </c>
      <c r="C90" s="4" t="s">
        <v>1288</v>
      </c>
      <c r="D90" s="5">
        <v>2025</v>
      </c>
      <c r="E90" s="3" t="s">
        <v>773</v>
      </c>
      <c r="F90" s="3" t="s">
        <v>18</v>
      </c>
      <c r="G90" s="4" t="s">
        <v>1289</v>
      </c>
      <c r="H90" s="6" t="s">
        <v>1290</v>
      </c>
      <c r="I90" s="4" t="s">
        <v>1291</v>
      </c>
      <c r="J90" s="8" t="s">
        <v>50</v>
      </c>
      <c r="K90" s="4" t="s">
        <v>51</v>
      </c>
      <c r="L90" s="4" t="s">
        <v>52</v>
      </c>
    </row>
    <row r="91" spans="1:12" ht="43.2" customHeight="1" x14ac:dyDescent="0.3">
      <c r="A91" s="3" t="s">
        <v>1292</v>
      </c>
      <c r="B91" s="4" t="s">
        <v>1293</v>
      </c>
      <c r="C91" s="4" t="s">
        <v>1294</v>
      </c>
      <c r="D91" s="5">
        <v>2024</v>
      </c>
      <c r="E91" s="3" t="s">
        <v>773</v>
      </c>
      <c r="F91" s="3" t="s">
        <v>18</v>
      </c>
      <c r="G91" s="4" t="s">
        <v>1295</v>
      </c>
      <c r="H91" s="6" t="s">
        <v>1296</v>
      </c>
      <c r="I91" s="4" t="s">
        <v>1297</v>
      </c>
      <c r="J91" s="8" t="s">
        <v>50</v>
      </c>
      <c r="K91" s="4" t="s">
        <v>660</v>
      </c>
      <c r="L91" s="4" t="s">
        <v>81</v>
      </c>
    </row>
    <row r="92" spans="1:12" ht="43.2" customHeight="1" x14ac:dyDescent="0.3">
      <c r="A92" s="3" t="s">
        <v>1298</v>
      </c>
      <c r="B92" s="4" t="s">
        <v>1299</v>
      </c>
      <c r="C92" s="4" t="s">
        <v>1300</v>
      </c>
      <c r="D92" s="5">
        <v>2024</v>
      </c>
      <c r="E92" s="3" t="s">
        <v>773</v>
      </c>
      <c r="F92" s="3" t="s">
        <v>18</v>
      </c>
      <c r="G92" s="4" t="s">
        <v>1301</v>
      </c>
      <c r="H92" s="6" t="s">
        <v>1302</v>
      </c>
      <c r="I92" s="4" t="s">
        <v>1303</v>
      </c>
      <c r="J92" s="8" t="s">
        <v>50</v>
      </c>
      <c r="K92" s="4" t="s">
        <v>260</v>
      </c>
      <c r="L92" s="4" t="s">
        <v>81</v>
      </c>
    </row>
    <row r="93" spans="1:12" ht="43.2" customHeight="1" x14ac:dyDescent="0.3">
      <c r="A93" s="3" t="s">
        <v>1304</v>
      </c>
      <c r="B93" s="4" t="s">
        <v>1305</v>
      </c>
      <c r="C93" s="4" t="s">
        <v>1306</v>
      </c>
      <c r="D93" s="5">
        <v>2023</v>
      </c>
      <c r="E93" s="3" t="s">
        <v>773</v>
      </c>
      <c r="F93" s="3" t="s">
        <v>18</v>
      </c>
      <c r="G93" s="4" t="s">
        <v>1307</v>
      </c>
      <c r="H93" s="6" t="s">
        <v>1308</v>
      </c>
      <c r="I93" s="4" t="s">
        <v>1309</v>
      </c>
      <c r="J93" s="8" t="s">
        <v>50</v>
      </c>
      <c r="K93" s="4" t="s">
        <v>66</v>
      </c>
      <c r="L93" s="4" t="s">
        <v>52</v>
      </c>
    </row>
    <row r="94" spans="1:12" ht="43.2" customHeight="1" x14ac:dyDescent="0.3">
      <c r="A94" s="3" t="s">
        <v>1310</v>
      </c>
      <c r="B94" s="4" t="s">
        <v>1311</v>
      </c>
      <c r="C94" s="4" t="s">
        <v>1312</v>
      </c>
      <c r="D94" s="5">
        <v>2023</v>
      </c>
      <c r="E94" s="3" t="s">
        <v>773</v>
      </c>
      <c r="F94" s="3" t="s">
        <v>18</v>
      </c>
      <c r="G94" s="4" t="s">
        <v>1313</v>
      </c>
      <c r="H94" s="6" t="s">
        <v>1314</v>
      </c>
      <c r="I94" s="4" t="s">
        <v>1315</v>
      </c>
      <c r="J94" s="8" t="s">
        <v>50</v>
      </c>
      <c r="K94" s="4" t="s">
        <v>451</v>
      </c>
      <c r="L94" s="4" t="s">
        <v>81</v>
      </c>
    </row>
    <row r="95" spans="1:12" ht="43.2" customHeight="1" x14ac:dyDescent="0.3">
      <c r="A95" s="3" t="s">
        <v>1316</v>
      </c>
      <c r="B95" s="4" t="s">
        <v>1317</v>
      </c>
      <c r="C95" s="4" t="s">
        <v>1318</v>
      </c>
      <c r="D95" s="5">
        <v>2024</v>
      </c>
      <c r="E95" s="3" t="s">
        <v>773</v>
      </c>
      <c r="F95" s="3" t="s">
        <v>18</v>
      </c>
      <c r="G95" s="4" t="s">
        <v>1319</v>
      </c>
      <c r="H95" s="6" t="s">
        <v>1320</v>
      </c>
      <c r="I95" s="4" t="s">
        <v>1321</v>
      </c>
      <c r="J95" s="8" t="s">
        <v>50</v>
      </c>
      <c r="K95" s="4" t="s">
        <v>127</v>
      </c>
      <c r="L95" s="4" t="s">
        <v>81</v>
      </c>
    </row>
    <row r="96" spans="1:12" ht="43.2" customHeight="1" x14ac:dyDescent="0.3">
      <c r="A96" s="3" t="s">
        <v>1322</v>
      </c>
      <c r="B96" s="4" t="s">
        <v>1323</v>
      </c>
      <c r="C96" s="4" t="s">
        <v>1324</v>
      </c>
      <c r="D96" s="5">
        <v>2019</v>
      </c>
      <c r="E96" s="3" t="s">
        <v>773</v>
      </c>
      <c r="F96" s="3" t="s">
        <v>18</v>
      </c>
      <c r="G96" s="4" t="s">
        <v>1325</v>
      </c>
      <c r="H96" s="6" t="s">
        <v>1326</v>
      </c>
      <c r="I96" s="4" t="s">
        <v>1327</v>
      </c>
      <c r="J96" s="8" t="s">
        <v>50</v>
      </c>
      <c r="K96" s="4" t="s">
        <v>885</v>
      </c>
      <c r="L96" s="4" t="s">
        <v>52</v>
      </c>
    </row>
    <row r="97" spans="1:12" ht="43.2" customHeight="1" x14ac:dyDescent="0.3">
      <c r="A97" s="3" t="s">
        <v>1328</v>
      </c>
      <c r="B97" s="4" t="s">
        <v>1329</v>
      </c>
      <c r="C97" s="4" t="s">
        <v>1330</v>
      </c>
      <c r="D97" s="5">
        <v>2014</v>
      </c>
      <c r="E97" s="3" t="s">
        <v>773</v>
      </c>
      <c r="F97" s="3" t="s">
        <v>18</v>
      </c>
      <c r="G97" s="4" t="s">
        <v>207</v>
      </c>
      <c r="H97" s="4" t="s">
        <v>207</v>
      </c>
      <c r="I97" s="4" t="s">
        <v>1331</v>
      </c>
      <c r="J97" s="8" t="s">
        <v>50</v>
      </c>
      <c r="K97" s="4" t="s">
        <v>451</v>
      </c>
      <c r="L97" s="4" t="s">
        <v>81</v>
      </c>
    </row>
    <row r="98" spans="1:12" ht="43.2" customHeight="1" x14ac:dyDescent="0.3">
      <c r="A98" s="3" t="s">
        <v>1332</v>
      </c>
      <c r="B98" s="4" t="s">
        <v>1333</v>
      </c>
      <c r="C98" s="4" t="s">
        <v>1334</v>
      </c>
      <c r="D98" s="5">
        <v>2021</v>
      </c>
      <c r="E98" s="3" t="s">
        <v>773</v>
      </c>
      <c r="F98" s="3" t="s">
        <v>18</v>
      </c>
      <c r="G98" s="4" t="s">
        <v>1335</v>
      </c>
      <c r="H98" s="6" t="s">
        <v>1336</v>
      </c>
      <c r="I98" s="4" t="s">
        <v>1337</v>
      </c>
      <c r="J98" s="8" t="s">
        <v>50</v>
      </c>
      <c r="K98" s="4" t="s">
        <v>616</v>
      </c>
      <c r="L98" s="4" t="s">
        <v>81</v>
      </c>
    </row>
    <row r="99" spans="1:12" ht="43.2" customHeight="1" x14ac:dyDescent="0.3">
      <c r="A99" s="3" t="s">
        <v>1338</v>
      </c>
      <c r="B99" s="4" t="s">
        <v>1339</v>
      </c>
      <c r="C99" s="4" t="s">
        <v>1340</v>
      </c>
      <c r="D99" s="5">
        <v>2016</v>
      </c>
      <c r="E99" s="3" t="s">
        <v>773</v>
      </c>
      <c r="F99" s="3" t="s">
        <v>18</v>
      </c>
      <c r="G99" s="4" t="s">
        <v>1341</v>
      </c>
      <c r="H99" s="6" t="s">
        <v>1342</v>
      </c>
      <c r="I99" s="4" t="s">
        <v>1343</v>
      </c>
      <c r="J99" s="8" t="s">
        <v>50</v>
      </c>
      <c r="K99" s="4" t="s">
        <v>1344</v>
      </c>
      <c r="L99" s="4" t="s">
        <v>52</v>
      </c>
    </row>
    <row r="100" spans="1:12" ht="43.2" customHeight="1" x14ac:dyDescent="0.3">
      <c r="A100" s="3" t="s">
        <v>1345</v>
      </c>
      <c r="B100" s="4" t="s">
        <v>1346</v>
      </c>
      <c r="C100" s="4" t="s">
        <v>1347</v>
      </c>
      <c r="D100" s="5">
        <v>2018</v>
      </c>
      <c r="E100" s="3" t="s">
        <v>773</v>
      </c>
      <c r="F100" s="3" t="s">
        <v>18</v>
      </c>
      <c r="G100" s="4" t="s">
        <v>1348</v>
      </c>
      <c r="H100" s="6" t="s">
        <v>1349</v>
      </c>
      <c r="I100" s="4" t="s">
        <v>1350</v>
      </c>
      <c r="J100" s="8" t="s">
        <v>50</v>
      </c>
      <c r="K100" s="4" t="s">
        <v>451</v>
      </c>
      <c r="L100" s="4" t="s">
        <v>52</v>
      </c>
    </row>
    <row r="101" spans="1:12" ht="43.2" customHeight="1" x14ac:dyDescent="0.3">
      <c r="A101" s="3" t="s">
        <v>1351</v>
      </c>
      <c r="B101" s="4" t="s">
        <v>1352</v>
      </c>
      <c r="C101" s="4" t="s">
        <v>1353</v>
      </c>
      <c r="D101" s="5">
        <v>2023</v>
      </c>
      <c r="E101" s="3" t="s">
        <v>773</v>
      </c>
      <c r="F101" s="3" t="s">
        <v>18</v>
      </c>
      <c r="G101" s="4" t="s">
        <v>1354</v>
      </c>
      <c r="H101" s="6" t="s">
        <v>1355</v>
      </c>
      <c r="I101" s="4" t="s">
        <v>1356</v>
      </c>
      <c r="J101" s="8" t="s">
        <v>50</v>
      </c>
      <c r="K101" s="4" t="s">
        <v>127</v>
      </c>
      <c r="L101" s="4" t="s">
        <v>52</v>
      </c>
    </row>
    <row r="102" spans="1:12" ht="43.2" customHeight="1" x14ac:dyDescent="0.3">
      <c r="A102" s="3" t="s">
        <v>1357</v>
      </c>
      <c r="B102" s="4" t="s">
        <v>1358</v>
      </c>
      <c r="C102" s="4" t="s">
        <v>1359</v>
      </c>
      <c r="D102" s="5">
        <v>2020</v>
      </c>
      <c r="E102" s="3" t="s">
        <v>773</v>
      </c>
      <c r="F102" s="3" t="s">
        <v>18</v>
      </c>
      <c r="G102" s="4" t="s">
        <v>1360</v>
      </c>
      <c r="H102" s="6" t="s">
        <v>1361</v>
      </c>
      <c r="I102" s="4" t="s">
        <v>1362</v>
      </c>
      <c r="J102" s="8" t="s">
        <v>50</v>
      </c>
      <c r="K102" s="4" t="s">
        <v>37</v>
      </c>
      <c r="L102" s="4" t="s">
        <v>52</v>
      </c>
    </row>
    <row r="103" spans="1:12" ht="43.2" customHeight="1" x14ac:dyDescent="0.3">
      <c r="A103" s="3" t="s">
        <v>1363</v>
      </c>
      <c r="B103" s="4" t="s">
        <v>1364</v>
      </c>
      <c r="C103" s="4" t="s">
        <v>1365</v>
      </c>
      <c r="D103" s="5">
        <v>2024</v>
      </c>
      <c r="E103" s="3" t="s">
        <v>773</v>
      </c>
      <c r="F103" s="3" t="s">
        <v>18</v>
      </c>
      <c r="G103" s="4" t="s">
        <v>1366</v>
      </c>
      <c r="H103" s="6" t="s">
        <v>1367</v>
      </c>
      <c r="I103" s="4" t="s">
        <v>1368</v>
      </c>
      <c r="J103" s="8" t="s">
        <v>50</v>
      </c>
      <c r="K103" s="4" t="s">
        <v>451</v>
      </c>
      <c r="L103" s="4" t="s">
        <v>52</v>
      </c>
    </row>
    <row r="104" spans="1:12" ht="43.2" customHeight="1" x14ac:dyDescent="0.3">
      <c r="A104" s="3" t="s">
        <v>1369</v>
      </c>
      <c r="B104" s="4" t="s">
        <v>1370</v>
      </c>
      <c r="C104" s="4" t="s">
        <v>1371</v>
      </c>
      <c r="D104" s="5">
        <v>2016</v>
      </c>
      <c r="E104" s="3" t="s">
        <v>773</v>
      </c>
      <c r="F104" s="3" t="s">
        <v>18</v>
      </c>
      <c r="G104" s="4" t="s">
        <v>1372</v>
      </c>
      <c r="H104" s="6" t="s">
        <v>1373</v>
      </c>
      <c r="I104" s="4" t="s">
        <v>1374</v>
      </c>
      <c r="J104" s="8" t="s">
        <v>50</v>
      </c>
      <c r="K104" s="4" t="s">
        <v>1344</v>
      </c>
      <c r="L104" s="4" t="s">
        <v>52</v>
      </c>
    </row>
    <row r="105" spans="1:12" ht="43.2" customHeight="1" x14ac:dyDescent="0.3">
      <c r="A105" s="3" t="s">
        <v>1375</v>
      </c>
      <c r="B105" s="4" t="s">
        <v>1376</v>
      </c>
      <c r="C105" s="4" t="s">
        <v>1377</v>
      </c>
      <c r="D105" s="5">
        <v>2014</v>
      </c>
      <c r="E105" s="3" t="s">
        <v>773</v>
      </c>
      <c r="F105" s="3" t="s">
        <v>18</v>
      </c>
      <c r="G105" s="4" t="s">
        <v>1378</v>
      </c>
      <c r="H105" s="6" t="s">
        <v>1379</v>
      </c>
      <c r="I105" s="4" t="s">
        <v>1380</v>
      </c>
      <c r="J105" s="8" t="s">
        <v>50</v>
      </c>
      <c r="K105" s="4" t="s">
        <v>451</v>
      </c>
      <c r="L105" s="4" t="s">
        <v>52</v>
      </c>
    </row>
    <row r="106" spans="1:12" ht="43.2" customHeight="1" x14ac:dyDescent="0.3">
      <c r="A106" s="3" t="s">
        <v>1381</v>
      </c>
      <c r="B106" s="4" t="s">
        <v>1382</v>
      </c>
      <c r="C106" s="4" t="s">
        <v>1383</v>
      </c>
      <c r="D106" s="5">
        <v>2014</v>
      </c>
      <c r="E106" s="3" t="s">
        <v>773</v>
      </c>
      <c r="F106" s="3" t="s">
        <v>18</v>
      </c>
      <c r="G106" s="4" t="s">
        <v>1384</v>
      </c>
      <c r="H106" s="6" t="s">
        <v>1385</v>
      </c>
      <c r="I106" s="4" t="s">
        <v>1386</v>
      </c>
      <c r="J106" s="8" t="s">
        <v>50</v>
      </c>
      <c r="K106" s="4" t="s">
        <v>66</v>
      </c>
      <c r="L106" s="4" t="s">
        <v>52</v>
      </c>
    </row>
    <row r="107" spans="1:12" ht="43.2" customHeight="1" x14ac:dyDescent="0.3">
      <c r="A107" s="3" t="s">
        <v>1387</v>
      </c>
      <c r="B107" s="4" t="s">
        <v>1388</v>
      </c>
      <c r="C107" s="4" t="s">
        <v>1389</v>
      </c>
      <c r="D107" s="5">
        <v>2024</v>
      </c>
      <c r="E107" s="3" t="s">
        <v>773</v>
      </c>
      <c r="F107" s="3" t="s">
        <v>18</v>
      </c>
      <c r="G107" s="4" t="s">
        <v>1390</v>
      </c>
      <c r="H107" s="6" t="s">
        <v>1391</v>
      </c>
      <c r="I107" s="4" t="s">
        <v>1392</v>
      </c>
      <c r="J107" s="8" t="s">
        <v>50</v>
      </c>
      <c r="K107" s="4" t="s">
        <v>451</v>
      </c>
      <c r="L107" s="4" t="s">
        <v>52</v>
      </c>
    </row>
    <row r="108" spans="1:12" ht="43.2" customHeight="1" x14ac:dyDescent="0.3">
      <c r="A108" s="3" t="s">
        <v>1393</v>
      </c>
      <c r="B108" s="4" t="s">
        <v>1394</v>
      </c>
      <c r="C108" s="4" t="s">
        <v>1395</v>
      </c>
      <c r="D108" s="5">
        <v>2025</v>
      </c>
      <c r="E108" s="3" t="s">
        <v>773</v>
      </c>
      <c r="F108" s="3" t="s">
        <v>18</v>
      </c>
      <c r="G108" s="4" t="s">
        <v>1396</v>
      </c>
      <c r="H108" s="6" t="s">
        <v>1397</v>
      </c>
      <c r="I108" s="4" t="s">
        <v>1398</v>
      </c>
      <c r="J108" s="8" t="s">
        <v>50</v>
      </c>
      <c r="K108" s="4" t="s">
        <v>451</v>
      </c>
      <c r="L108" s="4" t="s">
        <v>81</v>
      </c>
    </row>
    <row r="109" spans="1:12" ht="43.2" customHeight="1" x14ac:dyDescent="0.3">
      <c r="A109" s="3" t="s">
        <v>1399</v>
      </c>
      <c r="B109" s="4" t="s">
        <v>1400</v>
      </c>
      <c r="C109" s="4" t="s">
        <v>1401</v>
      </c>
      <c r="D109" s="5">
        <v>2014</v>
      </c>
      <c r="E109" s="3" t="s">
        <v>773</v>
      </c>
      <c r="F109" s="3" t="s">
        <v>18</v>
      </c>
      <c r="G109" s="4" t="s">
        <v>1402</v>
      </c>
      <c r="H109" s="6" t="s">
        <v>1403</v>
      </c>
      <c r="I109" s="4" t="s">
        <v>1404</v>
      </c>
      <c r="J109" s="8" t="s">
        <v>50</v>
      </c>
      <c r="K109" s="4" t="s">
        <v>451</v>
      </c>
      <c r="L109" s="4" t="s">
        <v>52</v>
      </c>
    </row>
    <row r="110" spans="1:12" ht="43.2" customHeight="1" x14ac:dyDescent="0.3">
      <c r="A110" s="3" t="s">
        <v>1405</v>
      </c>
      <c r="B110" s="4" t="s">
        <v>1406</v>
      </c>
      <c r="C110" s="4" t="s">
        <v>1407</v>
      </c>
      <c r="D110" s="5">
        <v>2019</v>
      </c>
      <c r="E110" s="3" t="s">
        <v>773</v>
      </c>
      <c r="F110" s="3" t="s">
        <v>18</v>
      </c>
      <c r="G110" s="4" t="s">
        <v>1408</v>
      </c>
      <c r="H110" s="6" t="s">
        <v>1409</v>
      </c>
      <c r="I110" s="4" t="s">
        <v>1410</v>
      </c>
      <c r="J110" s="8" t="s">
        <v>50</v>
      </c>
      <c r="K110" s="4" t="s">
        <v>127</v>
      </c>
      <c r="L110" s="4" t="s">
        <v>52</v>
      </c>
    </row>
    <row r="111" spans="1:12" ht="43.2" customHeight="1" x14ac:dyDescent="0.3">
      <c r="A111" s="3" t="s">
        <v>1411</v>
      </c>
      <c r="B111" s="4" t="s">
        <v>1412</v>
      </c>
      <c r="C111" s="4" t="s">
        <v>1413</v>
      </c>
      <c r="D111" s="5">
        <v>2014</v>
      </c>
      <c r="E111" s="3" t="s">
        <v>773</v>
      </c>
      <c r="F111" s="3" t="s">
        <v>18</v>
      </c>
      <c r="G111" s="4" t="s">
        <v>1414</v>
      </c>
      <c r="H111" s="6" t="s">
        <v>1415</v>
      </c>
      <c r="I111" s="4" t="s">
        <v>1416</v>
      </c>
      <c r="J111" s="8" t="s">
        <v>50</v>
      </c>
      <c r="K111" s="4" t="s">
        <v>1344</v>
      </c>
      <c r="L111" s="4" t="s">
        <v>52</v>
      </c>
    </row>
    <row r="112" spans="1:12" ht="43.2" customHeight="1" x14ac:dyDescent="0.3">
      <c r="A112" s="3" t="s">
        <v>1417</v>
      </c>
      <c r="B112" s="4" t="s">
        <v>1418</v>
      </c>
      <c r="C112" s="4" t="s">
        <v>1419</v>
      </c>
      <c r="D112" s="5">
        <v>2013</v>
      </c>
      <c r="E112" s="3" t="s">
        <v>773</v>
      </c>
      <c r="F112" s="3" t="s">
        <v>18</v>
      </c>
      <c r="G112" s="4" t="s">
        <v>1420</v>
      </c>
      <c r="H112" s="6" t="s">
        <v>1421</v>
      </c>
      <c r="I112" s="4" t="s">
        <v>1422</v>
      </c>
      <c r="J112" s="8" t="s">
        <v>50</v>
      </c>
      <c r="K112" s="4" t="s">
        <v>120</v>
      </c>
      <c r="L112" s="4" t="s">
        <v>52</v>
      </c>
    </row>
    <row r="113" spans="1:12" ht="43.2" customHeight="1" x14ac:dyDescent="0.3">
      <c r="A113" s="3" t="s">
        <v>1423</v>
      </c>
      <c r="B113" s="4" t="s">
        <v>1424</v>
      </c>
      <c r="C113" s="4" t="s">
        <v>1425</v>
      </c>
      <c r="D113" s="5">
        <v>2015</v>
      </c>
      <c r="E113" s="3" t="s">
        <v>773</v>
      </c>
      <c r="F113" s="3" t="s">
        <v>18</v>
      </c>
      <c r="G113" s="4" t="s">
        <v>1426</v>
      </c>
      <c r="H113" s="6" t="s">
        <v>1427</v>
      </c>
      <c r="I113" s="4" t="s">
        <v>1428</v>
      </c>
      <c r="J113" s="8" t="s">
        <v>50</v>
      </c>
      <c r="K113" s="4" t="s">
        <v>451</v>
      </c>
      <c r="L113" s="4" t="s">
        <v>52</v>
      </c>
    </row>
    <row r="114" spans="1:12" ht="43.2" customHeight="1" x14ac:dyDescent="0.3">
      <c r="A114" s="3" t="s">
        <v>1429</v>
      </c>
      <c r="B114" s="4" t="s">
        <v>1430</v>
      </c>
      <c r="C114" s="4" t="s">
        <v>1431</v>
      </c>
      <c r="D114" s="5">
        <v>2022</v>
      </c>
      <c r="E114" s="3" t="s">
        <v>773</v>
      </c>
      <c r="F114" s="3" t="s">
        <v>18</v>
      </c>
      <c r="G114" s="4" t="s">
        <v>207</v>
      </c>
      <c r="H114" s="4" t="s">
        <v>207</v>
      </c>
      <c r="I114" s="4" t="s">
        <v>1432</v>
      </c>
      <c r="J114" s="8" t="s">
        <v>50</v>
      </c>
      <c r="K114" s="4" t="s">
        <v>1344</v>
      </c>
      <c r="L114" s="4" t="s">
        <v>81</v>
      </c>
    </row>
    <row r="115" spans="1:12" ht="43.2" customHeight="1" x14ac:dyDescent="0.3">
      <c r="A115" s="3" t="s">
        <v>1433</v>
      </c>
      <c r="B115" s="4" t="s">
        <v>1434</v>
      </c>
      <c r="C115" s="4" t="s">
        <v>1435</v>
      </c>
      <c r="D115" s="5">
        <v>2019</v>
      </c>
      <c r="E115" s="3" t="s">
        <v>773</v>
      </c>
      <c r="F115" s="3" t="s">
        <v>18</v>
      </c>
      <c r="G115" s="4" t="s">
        <v>1436</v>
      </c>
      <c r="H115" s="6" t="s">
        <v>1437</v>
      </c>
      <c r="I115" s="4" t="s">
        <v>1438</v>
      </c>
      <c r="J115" s="8" t="s">
        <v>50</v>
      </c>
      <c r="K115" s="4" t="s">
        <v>451</v>
      </c>
      <c r="L115" s="4" t="s">
        <v>52</v>
      </c>
    </row>
    <row r="116" spans="1:12" ht="43.2" customHeight="1" x14ac:dyDescent="0.3">
      <c r="A116" s="3" t="s">
        <v>1439</v>
      </c>
      <c r="B116" s="4" t="s">
        <v>1440</v>
      </c>
      <c r="C116" s="4" t="s">
        <v>1441</v>
      </c>
      <c r="D116" s="5">
        <v>2002</v>
      </c>
      <c r="E116" s="3" t="s">
        <v>773</v>
      </c>
      <c r="F116" s="3" t="s">
        <v>18</v>
      </c>
      <c r="G116" s="4" t="s">
        <v>1442</v>
      </c>
      <c r="H116" s="6" t="s">
        <v>1443</v>
      </c>
      <c r="I116" s="4" t="s">
        <v>1444</v>
      </c>
      <c r="J116" s="8" t="s">
        <v>50</v>
      </c>
      <c r="K116" s="4" t="s">
        <v>1445</v>
      </c>
      <c r="L116" s="4" t="s">
        <v>52</v>
      </c>
    </row>
    <row r="117" spans="1:12" ht="43.2" customHeight="1" x14ac:dyDescent="0.3">
      <c r="A117" s="3" t="s">
        <v>1446</v>
      </c>
      <c r="B117" s="4" t="s">
        <v>1447</v>
      </c>
      <c r="C117" s="4" t="s">
        <v>1448</v>
      </c>
      <c r="D117" s="5">
        <v>2017</v>
      </c>
      <c r="E117" s="3" t="s">
        <v>773</v>
      </c>
      <c r="F117" s="3" t="s">
        <v>18</v>
      </c>
      <c r="G117" s="4" t="s">
        <v>1449</v>
      </c>
      <c r="H117" s="6" t="s">
        <v>1450</v>
      </c>
      <c r="I117" s="4" t="s">
        <v>1451</v>
      </c>
      <c r="J117" s="8" t="s">
        <v>50</v>
      </c>
      <c r="K117" s="4" t="s">
        <v>127</v>
      </c>
      <c r="L117" s="4" t="s">
        <v>52</v>
      </c>
    </row>
    <row r="118" spans="1:12" ht="43.2" customHeight="1" x14ac:dyDescent="0.3">
      <c r="A118" s="3" t="s">
        <v>1452</v>
      </c>
      <c r="B118" s="4" t="s">
        <v>1453</v>
      </c>
      <c r="C118" s="4" t="s">
        <v>1454</v>
      </c>
      <c r="D118" s="5">
        <v>2017</v>
      </c>
      <c r="E118" s="3" t="s">
        <v>773</v>
      </c>
      <c r="F118" s="3" t="s">
        <v>18</v>
      </c>
      <c r="G118" s="4" t="s">
        <v>1455</v>
      </c>
      <c r="H118" s="6" t="s">
        <v>1456</v>
      </c>
      <c r="I118" s="4" t="s">
        <v>1457</v>
      </c>
      <c r="J118" s="8" t="s">
        <v>50</v>
      </c>
      <c r="K118" s="4" t="s">
        <v>451</v>
      </c>
      <c r="L118" s="4" t="s">
        <v>52</v>
      </c>
    </row>
    <row r="119" spans="1:12" ht="43.2" customHeight="1" x14ac:dyDescent="0.3">
      <c r="A119" s="3" t="s">
        <v>1458</v>
      </c>
      <c r="B119" s="4" t="s">
        <v>1459</v>
      </c>
      <c r="C119" s="4" t="s">
        <v>1460</v>
      </c>
      <c r="D119" s="5">
        <v>2016</v>
      </c>
      <c r="E119" s="3" t="s">
        <v>773</v>
      </c>
      <c r="F119" s="3" t="s">
        <v>18</v>
      </c>
      <c r="G119" s="4" t="s">
        <v>1461</v>
      </c>
      <c r="H119" s="6" t="s">
        <v>1462</v>
      </c>
      <c r="I119" s="4" t="s">
        <v>1463</v>
      </c>
      <c r="J119" s="8" t="s">
        <v>50</v>
      </c>
      <c r="K119" s="4" t="s">
        <v>127</v>
      </c>
      <c r="L119" s="4" t="s">
        <v>52</v>
      </c>
    </row>
    <row r="120" spans="1:12" ht="43.2" customHeight="1" x14ac:dyDescent="0.3">
      <c r="A120" s="3" t="s">
        <v>1464</v>
      </c>
      <c r="B120" s="4" t="s">
        <v>1465</v>
      </c>
      <c r="C120" s="4" t="s">
        <v>1466</v>
      </c>
      <c r="D120" s="5">
        <v>2013</v>
      </c>
      <c r="E120" s="3" t="s">
        <v>773</v>
      </c>
      <c r="F120" s="3" t="s">
        <v>18</v>
      </c>
      <c r="G120" s="4" t="s">
        <v>1467</v>
      </c>
      <c r="H120" s="6" t="s">
        <v>1468</v>
      </c>
      <c r="I120" s="4" t="s">
        <v>1469</v>
      </c>
      <c r="J120" s="8" t="s">
        <v>50</v>
      </c>
      <c r="K120" s="4" t="s">
        <v>127</v>
      </c>
      <c r="L120" s="4" t="s">
        <v>52</v>
      </c>
    </row>
    <row r="121" spans="1:12" ht="43.2" customHeight="1" x14ac:dyDescent="0.3">
      <c r="A121" s="3" t="s">
        <v>1470</v>
      </c>
      <c r="B121" s="4" t="s">
        <v>1471</v>
      </c>
      <c r="C121" s="4" t="s">
        <v>1472</v>
      </c>
      <c r="D121" s="5">
        <v>2017</v>
      </c>
      <c r="E121" s="3" t="s">
        <v>773</v>
      </c>
      <c r="F121" s="3" t="s">
        <v>18</v>
      </c>
      <c r="G121" s="4" t="s">
        <v>207</v>
      </c>
      <c r="H121" s="4" t="s">
        <v>207</v>
      </c>
      <c r="I121" s="4" t="s">
        <v>1473</v>
      </c>
      <c r="J121" s="8" t="s">
        <v>50</v>
      </c>
      <c r="K121" s="4" t="s">
        <v>451</v>
      </c>
      <c r="L121" s="4" t="s">
        <v>52</v>
      </c>
    </row>
    <row r="122" spans="1:12" ht="43.2" customHeight="1" x14ac:dyDescent="0.3">
      <c r="A122" s="3" t="s">
        <v>1474</v>
      </c>
      <c r="B122" s="4" t="s">
        <v>1475</v>
      </c>
      <c r="C122" s="4" t="s">
        <v>1476</v>
      </c>
      <c r="D122" s="5">
        <v>2017</v>
      </c>
      <c r="E122" s="3" t="s">
        <v>773</v>
      </c>
      <c r="F122" s="3" t="s">
        <v>18</v>
      </c>
      <c r="G122" s="4" t="s">
        <v>207</v>
      </c>
      <c r="H122" s="4" t="s">
        <v>207</v>
      </c>
      <c r="I122" s="4" t="s">
        <v>1477</v>
      </c>
      <c r="J122" s="8" t="s">
        <v>50</v>
      </c>
      <c r="K122" s="4" t="s">
        <v>451</v>
      </c>
      <c r="L122" s="4" t="s">
        <v>52</v>
      </c>
    </row>
    <row r="123" spans="1:12" ht="43.2" customHeight="1" x14ac:dyDescent="0.3">
      <c r="A123" s="3" t="s">
        <v>1478</v>
      </c>
      <c r="B123" s="4" t="s">
        <v>1479</v>
      </c>
      <c r="C123" s="4" t="s">
        <v>1480</v>
      </c>
      <c r="D123" s="5">
        <v>1993</v>
      </c>
      <c r="E123" s="3" t="s">
        <v>773</v>
      </c>
      <c r="F123" s="3" t="s">
        <v>18</v>
      </c>
      <c r="G123" s="4" t="s">
        <v>1481</v>
      </c>
      <c r="H123" s="6" t="s">
        <v>1482</v>
      </c>
      <c r="I123" s="4" t="s">
        <v>1483</v>
      </c>
      <c r="J123" s="8" t="s">
        <v>50</v>
      </c>
      <c r="K123" s="4" t="s">
        <v>451</v>
      </c>
      <c r="L123" s="4" t="s">
        <v>52</v>
      </c>
    </row>
    <row r="124" spans="1:12" ht="43.2" customHeight="1" x14ac:dyDescent="0.3">
      <c r="A124" s="3" t="s">
        <v>1484</v>
      </c>
      <c r="B124" s="4" t="s">
        <v>1485</v>
      </c>
      <c r="C124" s="4" t="s">
        <v>1486</v>
      </c>
      <c r="D124" s="5">
        <v>1993</v>
      </c>
      <c r="E124" s="3" t="s">
        <v>773</v>
      </c>
      <c r="F124" s="3" t="s">
        <v>18</v>
      </c>
      <c r="G124" s="4" t="s">
        <v>1487</v>
      </c>
      <c r="H124" s="6" t="s">
        <v>1488</v>
      </c>
      <c r="I124" s="4" t="s">
        <v>1483</v>
      </c>
      <c r="J124" s="8" t="s">
        <v>50</v>
      </c>
      <c r="K124" s="4" t="s">
        <v>451</v>
      </c>
      <c r="L124" s="4" t="s">
        <v>81</v>
      </c>
    </row>
  </sheetData>
  <mergeCells count="2">
    <mergeCell ref="A2:L2"/>
    <mergeCell ref="A1:L1"/>
  </mergeCells>
  <pageMargins left="0.7" right="0.7" top="0.75" bottom="0.75" header="0.3" footer="0.3"/>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9"/>
  <sheetViews>
    <sheetView workbookViewId="0">
      <selection sqref="A1:L1"/>
    </sheetView>
  </sheetViews>
  <sheetFormatPr defaultRowHeight="14.4" x14ac:dyDescent="0.3"/>
  <cols>
    <col min="1" max="1" width="15" customWidth="1"/>
    <col min="2" max="2" width="46" customWidth="1"/>
    <col min="3" max="3" width="34" customWidth="1"/>
    <col min="4" max="4" width="11" customWidth="1"/>
    <col min="5" max="5" width="18" customWidth="1"/>
    <col min="6" max="6" width="16" customWidth="1"/>
    <col min="7" max="7" width="24" customWidth="1"/>
    <col min="8" max="8" width="30" customWidth="1"/>
    <col min="9" max="9" width="80" customWidth="1"/>
    <col min="10" max="10" width="18" customWidth="1"/>
    <col min="11" max="11" width="26" customWidth="1"/>
    <col min="12" max="12" width="34" customWidth="1"/>
  </cols>
  <sheetData>
    <row r="1" spans="1:12" ht="19.2" customHeight="1" x14ac:dyDescent="0.3">
      <c r="A1" s="31" t="s">
        <v>1489</v>
      </c>
      <c r="B1" s="30"/>
      <c r="C1" s="30"/>
      <c r="D1" s="30"/>
      <c r="E1" s="30"/>
      <c r="F1" s="30"/>
      <c r="G1" s="30"/>
      <c r="H1" s="30"/>
      <c r="I1" s="30"/>
      <c r="J1" s="30"/>
      <c r="K1" s="30"/>
      <c r="L1" s="30"/>
    </row>
    <row r="2" spans="1:12" ht="28.8" customHeight="1" x14ac:dyDescent="0.3">
      <c r="A2" s="29" t="s">
        <v>1490</v>
      </c>
      <c r="B2" s="30"/>
      <c r="C2" s="30"/>
      <c r="D2" s="30"/>
      <c r="E2" s="30"/>
      <c r="F2" s="30"/>
      <c r="G2" s="30"/>
      <c r="H2" s="30"/>
      <c r="I2" s="30"/>
      <c r="J2" s="30"/>
      <c r="K2" s="30"/>
      <c r="L2" s="30"/>
    </row>
    <row r="4" spans="1:12" ht="28.8" x14ac:dyDescent="0.3">
      <c r="A4" s="2" t="s">
        <v>2</v>
      </c>
      <c r="B4" s="2" t="s">
        <v>3</v>
      </c>
      <c r="C4" s="2" t="s">
        <v>4</v>
      </c>
      <c r="D4" s="2" t="s">
        <v>5</v>
      </c>
      <c r="E4" s="2" t="s">
        <v>6</v>
      </c>
      <c r="F4" s="2" t="s">
        <v>7</v>
      </c>
      <c r="G4" s="2" t="s">
        <v>8</v>
      </c>
      <c r="H4" s="2" t="s">
        <v>9</v>
      </c>
      <c r="I4" s="2" t="s">
        <v>10</v>
      </c>
      <c r="J4" s="19" t="s">
        <v>11</v>
      </c>
      <c r="K4" s="2" t="s">
        <v>12</v>
      </c>
      <c r="L4" s="2" t="s">
        <v>13</v>
      </c>
    </row>
    <row r="5" spans="1:12" ht="43.2" customHeight="1" x14ac:dyDescent="0.3">
      <c r="A5" s="3" t="s">
        <v>1491</v>
      </c>
      <c r="B5" s="4" t="s">
        <v>1492</v>
      </c>
      <c r="C5" s="4" t="s">
        <v>1493</v>
      </c>
      <c r="D5" s="5">
        <v>2025</v>
      </c>
      <c r="E5" s="3" t="s">
        <v>1494</v>
      </c>
      <c r="F5" s="3" t="s">
        <v>18</v>
      </c>
      <c r="G5" s="4" t="s">
        <v>1495</v>
      </c>
      <c r="H5" s="6" t="s">
        <v>1496</v>
      </c>
      <c r="I5" s="4" t="s">
        <v>1497</v>
      </c>
      <c r="J5" s="7" t="s">
        <v>22</v>
      </c>
      <c r="K5" s="4" t="s">
        <v>161</v>
      </c>
      <c r="L5" s="4" t="s">
        <v>24</v>
      </c>
    </row>
    <row r="6" spans="1:12" ht="43.2" customHeight="1" x14ac:dyDescent="0.3">
      <c r="A6" s="3" t="s">
        <v>1498</v>
      </c>
      <c r="B6" s="4" t="s">
        <v>1499</v>
      </c>
      <c r="C6" s="4" t="s">
        <v>1500</v>
      </c>
      <c r="D6" s="5">
        <v>2025</v>
      </c>
      <c r="E6" s="3" t="s">
        <v>1494</v>
      </c>
      <c r="F6" s="3" t="s">
        <v>18</v>
      </c>
      <c r="G6" s="4" t="s">
        <v>1501</v>
      </c>
      <c r="H6" s="6" t="s">
        <v>1502</v>
      </c>
      <c r="I6" s="4" t="s">
        <v>1503</v>
      </c>
      <c r="J6" s="7" t="s">
        <v>22</v>
      </c>
      <c r="K6" s="4" t="s">
        <v>66</v>
      </c>
      <c r="L6" s="4" t="s">
        <v>24</v>
      </c>
    </row>
    <row r="7" spans="1:12" ht="43.2" customHeight="1" x14ac:dyDescent="0.3">
      <c r="A7" s="3" t="s">
        <v>1504</v>
      </c>
      <c r="B7" s="4" t="s">
        <v>230</v>
      </c>
      <c r="C7" s="4" t="s">
        <v>1505</v>
      </c>
      <c r="D7" s="5">
        <v>2025</v>
      </c>
      <c r="E7" s="3" t="s">
        <v>1494</v>
      </c>
      <c r="F7" s="3" t="s">
        <v>18</v>
      </c>
      <c r="G7" s="4" t="s">
        <v>232</v>
      </c>
      <c r="H7" s="6" t="s">
        <v>1506</v>
      </c>
      <c r="I7" s="4" t="s">
        <v>234</v>
      </c>
      <c r="J7" s="7" t="s">
        <v>22</v>
      </c>
      <c r="K7" s="4" t="s">
        <v>235</v>
      </c>
      <c r="L7" s="4" t="s">
        <v>73</v>
      </c>
    </row>
    <row r="8" spans="1:12" ht="43.2" customHeight="1" x14ac:dyDescent="0.3">
      <c r="A8" s="3" t="s">
        <v>1507</v>
      </c>
      <c r="B8" s="4" t="s">
        <v>1508</v>
      </c>
      <c r="C8" s="4" t="s">
        <v>1509</v>
      </c>
      <c r="D8" s="5">
        <v>2024</v>
      </c>
      <c r="E8" s="3" t="s">
        <v>1494</v>
      </c>
      <c r="F8" s="3" t="s">
        <v>18</v>
      </c>
      <c r="G8" s="4" t="s">
        <v>1510</v>
      </c>
      <c r="H8" s="6" t="s">
        <v>1511</v>
      </c>
      <c r="I8" s="4" t="s">
        <v>1512</v>
      </c>
      <c r="J8" s="7" t="s">
        <v>22</v>
      </c>
      <c r="K8" s="4" t="s">
        <v>1513</v>
      </c>
      <c r="L8" s="4" t="s">
        <v>24</v>
      </c>
    </row>
    <row r="9" spans="1:12" ht="43.2" customHeight="1" x14ac:dyDescent="0.3">
      <c r="A9" s="3" t="s">
        <v>1514</v>
      </c>
      <c r="B9" s="4" t="s">
        <v>1515</v>
      </c>
      <c r="C9" s="4" t="s">
        <v>1516</v>
      </c>
      <c r="D9" s="5">
        <v>2026</v>
      </c>
      <c r="E9" s="3" t="s">
        <v>1494</v>
      </c>
      <c r="F9" s="3" t="s">
        <v>18</v>
      </c>
      <c r="G9" s="4" t="s">
        <v>1517</v>
      </c>
      <c r="H9" s="6" t="s">
        <v>1518</v>
      </c>
      <c r="I9" s="4" t="s">
        <v>1519</v>
      </c>
      <c r="J9" s="7" t="s">
        <v>22</v>
      </c>
      <c r="K9" s="4" t="s">
        <v>579</v>
      </c>
      <c r="L9" s="4" t="s">
        <v>24</v>
      </c>
    </row>
    <row r="10" spans="1:12" ht="43.2" customHeight="1" x14ac:dyDescent="0.3">
      <c r="A10" s="3" t="s">
        <v>1520</v>
      </c>
      <c r="B10" s="4" t="s">
        <v>68</v>
      </c>
      <c r="C10" s="4" t="s">
        <v>1521</v>
      </c>
      <c r="D10" s="5">
        <v>2025</v>
      </c>
      <c r="E10" s="3" t="s">
        <v>1494</v>
      </c>
      <c r="F10" s="3" t="s">
        <v>18</v>
      </c>
      <c r="G10" s="4" t="s">
        <v>70</v>
      </c>
      <c r="H10" s="6" t="s">
        <v>1522</v>
      </c>
      <c r="I10" s="4" t="s">
        <v>1523</v>
      </c>
      <c r="J10" s="7" t="s">
        <v>22</v>
      </c>
      <c r="K10" s="4" t="s">
        <v>23</v>
      </c>
      <c r="L10" s="4" t="s">
        <v>73</v>
      </c>
    </row>
    <row r="11" spans="1:12" ht="43.2" customHeight="1" x14ac:dyDescent="0.3">
      <c r="A11" s="3" t="s">
        <v>1524</v>
      </c>
      <c r="B11" s="4" t="s">
        <v>385</v>
      </c>
      <c r="C11" s="4" t="s">
        <v>1525</v>
      </c>
      <c r="D11" s="5">
        <v>2026</v>
      </c>
      <c r="E11" s="3" t="s">
        <v>1494</v>
      </c>
      <c r="F11" s="3" t="s">
        <v>18</v>
      </c>
      <c r="G11" s="4" t="s">
        <v>387</v>
      </c>
      <c r="H11" s="6" t="s">
        <v>1526</v>
      </c>
      <c r="I11" s="4" t="s">
        <v>389</v>
      </c>
      <c r="J11" s="7" t="s">
        <v>22</v>
      </c>
      <c r="K11" s="4" t="s">
        <v>23</v>
      </c>
      <c r="L11" s="4" t="s">
        <v>73</v>
      </c>
    </row>
    <row r="12" spans="1:12" ht="43.2" customHeight="1" x14ac:dyDescent="0.3">
      <c r="A12" s="3" t="s">
        <v>1527</v>
      </c>
      <c r="B12" s="4" t="s">
        <v>1528</v>
      </c>
      <c r="C12" s="4" t="s">
        <v>1529</v>
      </c>
      <c r="D12" s="5">
        <v>2025</v>
      </c>
      <c r="E12" s="3" t="s">
        <v>1494</v>
      </c>
      <c r="F12" s="3" t="s">
        <v>18</v>
      </c>
      <c r="G12" s="4" t="s">
        <v>1530</v>
      </c>
      <c r="H12" s="6" t="s">
        <v>1531</v>
      </c>
      <c r="I12" s="4" t="s">
        <v>1532</v>
      </c>
      <c r="J12" s="7" t="s">
        <v>22</v>
      </c>
      <c r="K12" s="4" t="s">
        <v>37</v>
      </c>
      <c r="L12" s="4" t="s">
        <v>24</v>
      </c>
    </row>
    <row r="13" spans="1:12" ht="43.2" customHeight="1" x14ac:dyDescent="0.3">
      <c r="A13" s="3" t="s">
        <v>1533</v>
      </c>
      <c r="B13" s="4" t="s">
        <v>1534</v>
      </c>
      <c r="C13" s="4" t="s">
        <v>1535</v>
      </c>
      <c r="D13" s="5">
        <v>2025</v>
      </c>
      <c r="E13" s="3" t="s">
        <v>1494</v>
      </c>
      <c r="F13" s="3" t="s">
        <v>18</v>
      </c>
      <c r="G13" s="4" t="s">
        <v>1536</v>
      </c>
      <c r="H13" s="6" t="s">
        <v>1537</v>
      </c>
      <c r="I13" s="4" t="s">
        <v>1538</v>
      </c>
      <c r="J13" s="7" t="s">
        <v>22</v>
      </c>
      <c r="K13" s="4" t="s">
        <v>161</v>
      </c>
      <c r="L13" s="4" t="s">
        <v>24</v>
      </c>
    </row>
    <row r="14" spans="1:12" ht="43.2" customHeight="1" x14ac:dyDescent="0.3">
      <c r="A14" s="3" t="s">
        <v>1539</v>
      </c>
      <c r="B14" s="4" t="s">
        <v>1540</v>
      </c>
      <c r="C14" s="4" t="s">
        <v>1541</v>
      </c>
      <c r="D14" s="5">
        <v>2025</v>
      </c>
      <c r="E14" s="3" t="s">
        <v>1494</v>
      </c>
      <c r="F14" s="3" t="s">
        <v>18</v>
      </c>
      <c r="G14" s="4" t="s">
        <v>1542</v>
      </c>
      <c r="H14" s="6" t="s">
        <v>1543</v>
      </c>
      <c r="I14" s="4" t="s">
        <v>1544</v>
      </c>
      <c r="J14" s="7" t="s">
        <v>22</v>
      </c>
      <c r="K14" s="4" t="s">
        <v>161</v>
      </c>
      <c r="L14" s="4" t="s">
        <v>24</v>
      </c>
    </row>
    <row r="15" spans="1:12" ht="43.2" customHeight="1" x14ac:dyDescent="0.3">
      <c r="A15" s="3" t="s">
        <v>1545</v>
      </c>
      <c r="B15" s="4" t="s">
        <v>1546</v>
      </c>
      <c r="C15" s="4" t="s">
        <v>1547</v>
      </c>
      <c r="D15" s="5">
        <v>2026</v>
      </c>
      <c r="E15" s="3" t="s">
        <v>1494</v>
      </c>
      <c r="F15" s="3" t="s">
        <v>18</v>
      </c>
      <c r="G15" s="4" t="s">
        <v>1548</v>
      </c>
      <c r="H15" s="6" t="s">
        <v>1549</v>
      </c>
      <c r="I15" s="4" t="s">
        <v>1550</v>
      </c>
      <c r="J15" s="7" t="s">
        <v>22</v>
      </c>
      <c r="K15" s="4" t="s">
        <v>120</v>
      </c>
      <c r="L15" s="4" t="s">
        <v>24</v>
      </c>
    </row>
    <row r="16" spans="1:12" ht="43.2" customHeight="1" x14ac:dyDescent="0.3">
      <c r="A16" s="3" t="s">
        <v>1551</v>
      </c>
      <c r="B16" s="4" t="s">
        <v>1552</v>
      </c>
      <c r="C16" s="4" t="s">
        <v>1553</v>
      </c>
      <c r="D16" s="5">
        <v>2025</v>
      </c>
      <c r="E16" s="3" t="s">
        <v>1494</v>
      </c>
      <c r="F16" s="3" t="s">
        <v>18</v>
      </c>
      <c r="G16" s="4" t="s">
        <v>1554</v>
      </c>
      <c r="H16" s="6" t="s">
        <v>1555</v>
      </c>
      <c r="I16" s="4" t="s">
        <v>1556</v>
      </c>
      <c r="J16" s="7" t="s">
        <v>22</v>
      </c>
      <c r="K16" s="4" t="s">
        <v>120</v>
      </c>
      <c r="L16" s="4" t="s">
        <v>24</v>
      </c>
    </row>
    <row r="17" spans="1:12" ht="43.2" customHeight="1" x14ac:dyDescent="0.3">
      <c r="A17" s="3" t="s">
        <v>1557</v>
      </c>
      <c r="B17" s="4" t="s">
        <v>136</v>
      </c>
      <c r="C17" s="4" t="s">
        <v>1558</v>
      </c>
      <c r="D17" s="5">
        <v>2024</v>
      </c>
      <c r="E17" s="3" t="s">
        <v>1494</v>
      </c>
      <c r="F17" s="3" t="s">
        <v>18</v>
      </c>
      <c r="G17" s="4" t="s">
        <v>138</v>
      </c>
      <c r="H17" s="6" t="s">
        <v>1559</v>
      </c>
      <c r="I17" s="4" t="s">
        <v>1560</v>
      </c>
      <c r="J17" s="7" t="s">
        <v>22</v>
      </c>
      <c r="K17" s="4" t="s">
        <v>141</v>
      </c>
      <c r="L17" s="4" t="s">
        <v>73</v>
      </c>
    </row>
    <row r="18" spans="1:12" ht="43.2" customHeight="1" x14ac:dyDescent="0.3">
      <c r="A18" s="3" t="s">
        <v>1561</v>
      </c>
      <c r="B18" s="4" t="s">
        <v>1562</v>
      </c>
      <c r="C18" s="4" t="s">
        <v>1563</v>
      </c>
      <c r="D18" s="5">
        <v>2026</v>
      </c>
      <c r="E18" s="3" t="s">
        <v>1494</v>
      </c>
      <c r="F18" s="3" t="s">
        <v>18</v>
      </c>
      <c r="G18" s="4" t="s">
        <v>1564</v>
      </c>
      <c r="H18" s="6" t="s">
        <v>1565</v>
      </c>
      <c r="I18" s="4" t="s">
        <v>1566</v>
      </c>
      <c r="J18" s="7" t="s">
        <v>22</v>
      </c>
      <c r="K18" s="4" t="s">
        <v>141</v>
      </c>
      <c r="L18" s="4" t="s">
        <v>24</v>
      </c>
    </row>
    <row r="19" spans="1:12" ht="43.2" customHeight="1" x14ac:dyDescent="0.3">
      <c r="A19" s="3" t="s">
        <v>1567</v>
      </c>
      <c r="B19" s="4" t="s">
        <v>1568</v>
      </c>
      <c r="C19" s="4" t="s">
        <v>1569</v>
      </c>
      <c r="D19" s="5">
        <v>2025</v>
      </c>
      <c r="E19" s="3" t="s">
        <v>1494</v>
      </c>
      <c r="F19" s="3" t="s">
        <v>18</v>
      </c>
      <c r="G19" s="4" t="s">
        <v>1570</v>
      </c>
      <c r="H19" s="6" t="s">
        <v>1571</v>
      </c>
      <c r="I19" s="4" t="s">
        <v>1572</v>
      </c>
      <c r="J19" s="7" t="s">
        <v>22</v>
      </c>
      <c r="K19" s="4" t="s">
        <v>616</v>
      </c>
      <c r="L19" s="4" t="s">
        <v>24</v>
      </c>
    </row>
    <row r="20" spans="1:12" ht="43.2" customHeight="1" x14ac:dyDescent="0.3">
      <c r="A20" s="3" t="s">
        <v>1573</v>
      </c>
      <c r="B20" s="4" t="s">
        <v>1574</v>
      </c>
      <c r="C20" s="4" t="s">
        <v>1575</v>
      </c>
      <c r="D20" s="5">
        <v>2025</v>
      </c>
      <c r="E20" s="3" t="s">
        <v>1494</v>
      </c>
      <c r="F20" s="3" t="s">
        <v>18</v>
      </c>
      <c r="G20" s="4" t="s">
        <v>1576</v>
      </c>
      <c r="H20" s="6" t="s">
        <v>1577</v>
      </c>
      <c r="I20" s="4" t="s">
        <v>1578</v>
      </c>
      <c r="J20" s="8" t="s">
        <v>50</v>
      </c>
      <c r="K20" s="4" t="s">
        <v>260</v>
      </c>
      <c r="L20" s="4" t="s">
        <v>52</v>
      </c>
    </row>
    <row r="21" spans="1:12" ht="43.2" customHeight="1" x14ac:dyDescent="0.3">
      <c r="A21" s="3" t="s">
        <v>1579</v>
      </c>
      <c r="B21" s="4" t="s">
        <v>83</v>
      </c>
      <c r="C21" s="4" t="s">
        <v>1580</v>
      </c>
      <c r="D21" s="5">
        <v>2023</v>
      </c>
      <c r="E21" s="3" t="s">
        <v>1494</v>
      </c>
      <c r="F21" s="3" t="s">
        <v>18</v>
      </c>
      <c r="G21" s="4" t="s">
        <v>85</v>
      </c>
      <c r="H21" s="6" t="s">
        <v>1581</v>
      </c>
      <c r="I21" s="4" t="s">
        <v>1582</v>
      </c>
      <c r="J21" s="7" t="s">
        <v>22</v>
      </c>
      <c r="K21" s="4" t="s">
        <v>23</v>
      </c>
      <c r="L21" s="4" t="s">
        <v>73</v>
      </c>
    </row>
    <row r="22" spans="1:12" ht="43.2" customHeight="1" x14ac:dyDescent="0.3">
      <c r="A22" s="3" t="s">
        <v>1583</v>
      </c>
      <c r="B22" s="4" t="s">
        <v>1584</v>
      </c>
      <c r="C22" s="4" t="s">
        <v>1585</v>
      </c>
      <c r="D22" s="5">
        <v>2025</v>
      </c>
      <c r="E22" s="3" t="s">
        <v>1494</v>
      </c>
      <c r="F22" s="3" t="s">
        <v>18</v>
      </c>
      <c r="G22" s="4" t="s">
        <v>1586</v>
      </c>
      <c r="H22" s="6" t="s">
        <v>1587</v>
      </c>
      <c r="I22" s="4" t="s">
        <v>1588</v>
      </c>
      <c r="J22" s="7" t="s">
        <v>22</v>
      </c>
      <c r="K22" s="4" t="s">
        <v>260</v>
      </c>
      <c r="L22" s="4" t="s">
        <v>24</v>
      </c>
    </row>
    <row r="23" spans="1:12" ht="43.2" customHeight="1" x14ac:dyDescent="0.3">
      <c r="A23" s="3" t="s">
        <v>1589</v>
      </c>
      <c r="B23" s="4" t="s">
        <v>1590</v>
      </c>
      <c r="C23" s="4" t="s">
        <v>1591</v>
      </c>
      <c r="D23" s="5">
        <v>2024</v>
      </c>
      <c r="E23" s="3" t="s">
        <v>1494</v>
      </c>
      <c r="F23" s="3" t="s">
        <v>18</v>
      </c>
      <c r="G23" s="4" t="s">
        <v>1592</v>
      </c>
      <c r="H23" s="6" t="s">
        <v>1593</v>
      </c>
      <c r="I23" s="4" t="s">
        <v>1594</v>
      </c>
      <c r="J23" s="7" t="s">
        <v>22</v>
      </c>
      <c r="K23" s="4" t="s">
        <v>23</v>
      </c>
      <c r="L23" s="4" t="s">
        <v>24</v>
      </c>
    </row>
    <row r="24" spans="1:12" ht="43.2" customHeight="1" x14ac:dyDescent="0.3">
      <c r="A24" s="3" t="s">
        <v>1595</v>
      </c>
      <c r="B24" s="4" t="s">
        <v>574</v>
      </c>
      <c r="C24" s="4" t="s">
        <v>1596</v>
      </c>
      <c r="D24" s="5">
        <v>2025</v>
      </c>
      <c r="E24" s="3" t="s">
        <v>1494</v>
      </c>
      <c r="F24" s="3" t="s">
        <v>18</v>
      </c>
      <c r="G24" s="4" t="s">
        <v>576</v>
      </c>
      <c r="H24" s="6" t="s">
        <v>1597</v>
      </c>
      <c r="I24" s="4" t="s">
        <v>1598</v>
      </c>
      <c r="J24" s="7" t="s">
        <v>22</v>
      </c>
      <c r="K24" s="4" t="s">
        <v>579</v>
      </c>
      <c r="L24" s="4" t="s">
        <v>73</v>
      </c>
    </row>
    <row r="25" spans="1:12" ht="43.2" customHeight="1" x14ac:dyDescent="0.3">
      <c r="A25" s="3" t="s">
        <v>1599</v>
      </c>
      <c r="B25" s="4" t="s">
        <v>1600</v>
      </c>
      <c r="C25" s="4" t="s">
        <v>1601</v>
      </c>
      <c r="D25" s="5">
        <v>2025</v>
      </c>
      <c r="E25" s="3" t="s">
        <v>1494</v>
      </c>
      <c r="F25" s="3" t="s">
        <v>18</v>
      </c>
      <c r="G25" s="4" t="s">
        <v>1602</v>
      </c>
      <c r="H25" s="6" t="s">
        <v>1603</v>
      </c>
      <c r="I25" s="4" t="s">
        <v>1604</v>
      </c>
      <c r="J25" s="7" t="s">
        <v>22</v>
      </c>
      <c r="K25" s="4" t="s">
        <v>23</v>
      </c>
      <c r="L25" s="4" t="s">
        <v>24</v>
      </c>
    </row>
    <row r="26" spans="1:12" ht="43.2" customHeight="1" x14ac:dyDescent="0.3">
      <c r="A26" s="3" t="s">
        <v>1605</v>
      </c>
      <c r="B26" s="4" t="s">
        <v>1606</v>
      </c>
      <c r="C26" s="4" t="s">
        <v>1607</v>
      </c>
      <c r="D26" s="5">
        <v>2025</v>
      </c>
      <c r="E26" s="3" t="s">
        <v>1494</v>
      </c>
      <c r="F26" s="3" t="s">
        <v>18</v>
      </c>
      <c r="G26" s="4" t="s">
        <v>1608</v>
      </c>
      <c r="H26" s="6" t="s">
        <v>1609</v>
      </c>
      <c r="I26" s="4" t="s">
        <v>1610</v>
      </c>
      <c r="J26" s="7" t="s">
        <v>22</v>
      </c>
      <c r="K26" s="4" t="s">
        <v>579</v>
      </c>
      <c r="L26" s="4" t="s">
        <v>24</v>
      </c>
    </row>
    <row r="27" spans="1:12" ht="43.2" customHeight="1" x14ac:dyDescent="0.3">
      <c r="A27" s="3" t="s">
        <v>1611</v>
      </c>
      <c r="B27" s="4" t="s">
        <v>1612</v>
      </c>
      <c r="C27" s="4" t="s">
        <v>1613</v>
      </c>
      <c r="D27" s="5">
        <v>2026</v>
      </c>
      <c r="E27" s="3" t="s">
        <v>1494</v>
      </c>
      <c r="F27" s="3" t="s">
        <v>18</v>
      </c>
      <c r="G27" s="4" t="s">
        <v>1614</v>
      </c>
      <c r="H27" s="6" t="s">
        <v>1615</v>
      </c>
      <c r="I27" s="4" t="s">
        <v>1616</v>
      </c>
      <c r="J27" s="7" t="s">
        <v>22</v>
      </c>
      <c r="K27" s="4" t="s">
        <v>141</v>
      </c>
      <c r="L27" s="4" t="s">
        <v>24</v>
      </c>
    </row>
    <row r="28" spans="1:12" ht="43.2" customHeight="1" x14ac:dyDescent="0.3">
      <c r="A28" s="3" t="s">
        <v>1617</v>
      </c>
      <c r="B28" s="4" t="s">
        <v>1618</v>
      </c>
      <c r="C28" s="4" t="s">
        <v>1619</v>
      </c>
      <c r="D28" s="5">
        <v>2026</v>
      </c>
      <c r="E28" s="3" t="s">
        <v>1494</v>
      </c>
      <c r="F28" s="3" t="s">
        <v>18</v>
      </c>
      <c r="G28" s="4" t="s">
        <v>1620</v>
      </c>
      <c r="H28" s="6" t="s">
        <v>1621</v>
      </c>
      <c r="I28" s="4" t="s">
        <v>1622</v>
      </c>
      <c r="J28" s="7" t="s">
        <v>22</v>
      </c>
      <c r="K28" s="4" t="s">
        <v>23</v>
      </c>
      <c r="L28" s="4" t="s">
        <v>24</v>
      </c>
    </row>
    <row r="29" spans="1:12" ht="43.2" customHeight="1" x14ac:dyDescent="0.3">
      <c r="A29" s="3" t="s">
        <v>1623</v>
      </c>
      <c r="B29" s="4" t="s">
        <v>1624</v>
      </c>
      <c r="C29" s="4" t="s">
        <v>1625</v>
      </c>
      <c r="D29" s="5">
        <v>2025</v>
      </c>
      <c r="E29" s="3" t="s">
        <v>1494</v>
      </c>
      <c r="F29" s="3" t="s">
        <v>18</v>
      </c>
      <c r="G29" s="4" t="s">
        <v>350</v>
      </c>
      <c r="H29" s="6" t="s">
        <v>1626</v>
      </c>
      <c r="I29" s="4" t="s">
        <v>352</v>
      </c>
      <c r="J29" s="7" t="s">
        <v>22</v>
      </c>
      <c r="K29" s="4" t="s">
        <v>353</v>
      </c>
      <c r="L29" s="4" t="s">
        <v>73</v>
      </c>
    </row>
    <row r="30" spans="1:12" ht="43.2" customHeight="1" x14ac:dyDescent="0.3">
      <c r="A30" s="3" t="s">
        <v>1627</v>
      </c>
      <c r="B30" s="4" t="s">
        <v>1628</v>
      </c>
      <c r="C30" s="4" t="s">
        <v>1629</v>
      </c>
      <c r="D30" s="5">
        <v>2025</v>
      </c>
      <c r="E30" s="3" t="s">
        <v>1494</v>
      </c>
      <c r="F30" s="3" t="s">
        <v>18</v>
      </c>
      <c r="G30" s="4" t="s">
        <v>1630</v>
      </c>
      <c r="H30" s="6" t="s">
        <v>1631</v>
      </c>
      <c r="I30" s="4" t="s">
        <v>1632</v>
      </c>
      <c r="J30" s="7" t="s">
        <v>22</v>
      </c>
      <c r="K30" s="4" t="s">
        <v>161</v>
      </c>
      <c r="L30" s="4" t="s">
        <v>24</v>
      </c>
    </row>
    <row r="31" spans="1:12" ht="43.2" customHeight="1" x14ac:dyDescent="0.3">
      <c r="A31" s="3" t="s">
        <v>1633</v>
      </c>
      <c r="B31" s="4" t="s">
        <v>1634</v>
      </c>
      <c r="C31" s="4" t="s">
        <v>1635</v>
      </c>
      <c r="D31" s="5">
        <v>2025</v>
      </c>
      <c r="E31" s="3" t="s">
        <v>1494</v>
      </c>
      <c r="F31" s="3" t="s">
        <v>18</v>
      </c>
      <c r="G31" s="4" t="s">
        <v>1636</v>
      </c>
      <c r="H31" s="6" t="s">
        <v>1637</v>
      </c>
      <c r="I31" s="4" t="s">
        <v>1638</v>
      </c>
      <c r="J31" s="7" t="s">
        <v>22</v>
      </c>
      <c r="K31" s="4" t="s">
        <v>23</v>
      </c>
      <c r="L31" s="4" t="s">
        <v>24</v>
      </c>
    </row>
    <row r="32" spans="1:12" ht="43.2" customHeight="1" x14ac:dyDescent="0.3">
      <c r="A32" s="3" t="s">
        <v>1639</v>
      </c>
      <c r="B32" s="4" t="s">
        <v>409</v>
      </c>
      <c r="C32" s="4" t="s">
        <v>1640</v>
      </c>
      <c r="D32" s="5">
        <v>2025</v>
      </c>
      <c r="E32" s="3" t="s">
        <v>1494</v>
      </c>
      <c r="F32" s="3" t="s">
        <v>18</v>
      </c>
      <c r="G32" s="4" t="s">
        <v>411</v>
      </c>
      <c r="H32" s="6" t="s">
        <v>1641</v>
      </c>
      <c r="I32" s="4" t="s">
        <v>1642</v>
      </c>
      <c r="J32" s="7" t="s">
        <v>22</v>
      </c>
      <c r="K32" s="4" t="s">
        <v>37</v>
      </c>
      <c r="L32" s="4" t="s">
        <v>73</v>
      </c>
    </row>
    <row r="33" spans="1:12" ht="43.2" customHeight="1" x14ac:dyDescent="0.3">
      <c r="A33" s="3" t="s">
        <v>1643</v>
      </c>
      <c r="B33" s="4" t="s">
        <v>75</v>
      </c>
      <c r="C33" s="4" t="s">
        <v>1644</v>
      </c>
      <c r="D33" s="5">
        <v>2025</v>
      </c>
      <c r="E33" s="3" t="s">
        <v>1494</v>
      </c>
      <c r="F33" s="3" t="s">
        <v>18</v>
      </c>
      <c r="G33" s="4" t="s">
        <v>77</v>
      </c>
      <c r="H33" s="6" t="s">
        <v>1645</v>
      </c>
      <c r="I33" s="4" t="s">
        <v>1646</v>
      </c>
      <c r="J33" s="8" t="s">
        <v>50</v>
      </c>
      <c r="K33" s="4" t="s">
        <v>80</v>
      </c>
      <c r="L33" s="4" t="s">
        <v>81</v>
      </c>
    </row>
    <row r="34" spans="1:12" ht="43.2" customHeight="1" x14ac:dyDescent="0.3">
      <c r="A34" s="3" t="s">
        <v>1647</v>
      </c>
      <c r="B34" s="4" t="s">
        <v>1648</v>
      </c>
      <c r="C34" s="4" t="s">
        <v>1649</v>
      </c>
      <c r="D34" s="5">
        <v>2026</v>
      </c>
      <c r="E34" s="3" t="s">
        <v>1494</v>
      </c>
      <c r="F34" s="3" t="s">
        <v>18</v>
      </c>
      <c r="G34" s="4" t="s">
        <v>1650</v>
      </c>
      <c r="H34" s="6" t="s">
        <v>1651</v>
      </c>
      <c r="I34" s="4" t="s">
        <v>1652</v>
      </c>
      <c r="J34" s="7" t="s">
        <v>22</v>
      </c>
      <c r="K34" s="4" t="s">
        <v>1653</v>
      </c>
      <c r="L34" s="4" t="s">
        <v>24</v>
      </c>
    </row>
    <row r="35" spans="1:12" ht="43.2" customHeight="1" x14ac:dyDescent="0.3">
      <c r="A35" s="3" t="s">
        <v>1654</v>
      </c>
      <c r="B35" s="4" t="s">
        <v>361</v>
      </c>
      <c r="C35" s="4" t="s">
        <v>1655</v>
      </c>
      <c r="D35" s="5">
        <v>2024</v>
      </c>
      <c r="E35" s="3" t="s">
        <v>1494</v>
      </c>
      <c r="F35" s="3" t="s">
        <v>18</v>
      </c>
      <c r="G35" s="4" t="s">
        <v>363</v>
      </c>
      <c r="H35" s="6" t="s">
        <v>1656</v>
      </c>
      <c r="I35" s="4" t="s">
        <v>365</v>
      </c>
      <c r="J35" s="7" t="s">
        <v>22</v>
      </c>
      <c r="K35" s="4" t="s">
        <v>94</v>
      </c>
      <c r="L35" s="4" t="s">
        <v>73</v>
      </c>
    </row>
    <row r="36" spans="1:12" ht="43.2" customHeight="1" x14ac:dyDescent="0.3">
      <c r="A36" s="3" t="s">
        <v>1657</v>
      </c>
      <c r="B36" s="4" t="s">
        <v>1658</v>
      </c>
      <c r="C36" s="4" t="s">
        <v>1659</v>
      </c>
      <c r="D36" s="5">
        <v>2025</v>
      </c>
      <c r="E36" s="3" t="s">
        <v>1494</v>
      </c>
      <c r="F36" s="3" t="s">
        <v>18</v>
      </c>
      <c r="G36" s="4" t="s">
        <v>1660</v>
      </c>
      <c r="H36" s="6" t="s">
        <v>1661</v>
      </c>
      <c r="I36" s="4" t="s">
        <v>1662</v>
      </c>
      <c r="J36" s="7" t="s">
        <v>22</v>
      </c>
      <c r="K36" s="4" t="s">
        <v>37</v>
      </c>
      <c r="L36" s="4" t="s">
        <v>24</v>
      </c>
    </row>
    <row r="37" spans="1:12" ht="43.2" customHeight="1" x14ac:dyDescent="0.3">
      <c r="A37" s="3" t="s">
        <v>1663</v>
      </c>
      <c r="B37" s="4" t="s">
        <v>1664</v>
      </c>
      <c r="C37" s="4" t="s">
        <v>1665</v>
      </c>
      <c r="D37" s="5">
        <v>2025</v>
      </c>
      <c r="E37" s="3" t="s">
        <v>1494</v>
      </c>
      <c r="F37" s="3" t="s">
        <v>18</v>
      </c>
      <c r="G37" s="4" t="s">
        <v>1666</v>
      </c>
      <c r="H37" s="6" t="s">
        <v>1667</v>
      </c>
      <c r="I37" s="4" t="s">
        <v>1668</v>
      </c>
      <c r="J37" s="7" t="s">
        <v>22</v>
      </c>
      <c r="K37" s="4" t="s">
        <v>37</v>
      </c>
      <c r="L37" s="4" t="s">
        <v>24</v>
      </c>
    </row>
    <row r="38" spans="1:12" ht="43.2" customHeight="1" x14ac:dyDescent="0.3">
      <c r="A38" s="3" t="s">
        <v>1669</v>
      </c>
      <c r="B38" s="4" t="s">
        <v>1670</v>
      </c>
      <c r="C38" s="4" t="s">
        <v>1671</v>
      </c>
      <c r="D38" s="5">
        <v>2025</v>
      </c>
      <c r="E38" s="3" t="s">
        <v>1494</v>
      </c>
      <c r="F38" s="3" t="s">
        <v>18</v>
      </c>
      <c r="G38" s="4" t="s">
        <v>1672</v>
      </c>
      <c r="H38" s="6" t="s">
        <v>1673</v>
      </c>
      <c r="I38" s="4" t="s">
        <v>1674</v>
      </c>
      <c r="J38" s="7" t="s">
        <v>22</v>
      </c>
      <c r="K38" s="4" t="s">
        <v>120</v>
      </c>
      <c r="L38" s="4" t="s">
        <v>24</v>
      </c>
    </row>
    <row r="39" spans="1:12" ht="43.2" customHeight="1" x14ac:dyDescent="0.3">
      <c r="A39" s="3" t="s">
        <v>1675</v>
      </c>
      <c r="B39" s="4" t="s">
        <v>1676</v>
      </c>
      <c r="C39" s="4" t="s">
        <v>1677</v>
      </c>
      <c r="D39" s="5">
        <v>2024</v>
      </c>
      <c r="E39" s="3" t="s">
        <v>1494</v>
      </c>
      <c r="F39" s="3" t="s">
        <v>18</v>
      </c>
      <c r="G39" s="4" t="s">
        <v>207</v>
      </c>
      <c r="H39" s="4" t="s">
        <v>207</v>
      </c>
      <c r="I39" s="4" t="s">
        <v>1678</v>
      </c>
      <c r="J39" s="7" t="s">
        <v>22</v>
      </c>
      <c r="K39" s="4" t="s">
        <v>37</v>
      </c>
      <c r="L39" s="4" t="s">
        <v>24</v>
      </c>
    </row>
    <row r="40" spans="1:12" ht="43.2" customHeight="1" x14ac:dyDescent="0.3">
      <c r="A40" s="3" t="s">
        <v>1679</v>
      </c>
      <c r="B40" s="4" t="s">
        <v>1680</v>
      </c>
      <c r="C40" s="4" t="s">
        <v>1681</v>
      </c>
      <c r="D40" s="5">
        <v>2025</v>
      </c>
      <c r="E40" s="3" t="s">
        <v>1494</v>
      </c>
      <c r="F40" s="3" t="s">
        <v>18</v>
      </c>
      <c r="G40" s="4" t="s">
        <v>1682</v>
      </c>
      <c r="H40" s="6" t="s">
        <v>1683</v>
      </c>
      <c r="I40" s="4" t="s">
        <v>1684</v>
      </c>
      <c r="J40" s="7" t="s">
        <v>22</v>
      </c>
      <c r="K40" s="4" t="s">
        <v>353</v>
      </c>
      <c r="L40" s="4" t="s">
        <v>24</v>
      </c>
    </row>
    <row r="41" spans="1:12" ht="43.2" customHeight="1" x14ac:dyDescent="0.3">
      <c r="A41" s="3" t="s">
        <v>1685</v>
      </c>
      <c r="B41" s="4" t="s">
        <v>218</v>
      </c>
      <c r="C41" s="4" t="s">
        <v>1686</v>
      </c>
      <c r="D41" s="5">
        <v>2025</v>
      </c>
      <c r="E41" s="3" t="s">
        <v>1494</v>
      </c>
      <c r="F41" s="3" t="s">
        <v>18</v>
      </c>
      <c r="G41" s="4" t="s">
        <v>220</v>
      </c>
      <c r="H41" s="6" t="s">
        <v>1687</v>
      </c>
      <c r="I41" s="4" t="s">
        <v>1688</v>
      </c>
      <c r="J41" s="7" t="s">
        <v>22</v>
      </c>
      <c r="K41" s="4" t="s">
        <v>37</v>
      </c>
      <c r="L41" s="4" t="s">
        <v>73</v>
      </c>
    </row>
    <row r="42" spans="1:12" ht="43.2" customHeight="1" x14ac:dyDescent="0.3">
      <c r="A42" s="3" t="s">
        <v>1689</v>
      </c>
      <c r="B42" s="4" t="s">
        <v>1690</v>
      </c>
      <c r="C42" s="4" t="s">
        <v>1691</v>
      </c>
      <c r="D42" s="5">
        <v>2025</v>
      </c>
      <c r="E42" s="3" t="s">
        <v>1494</v>
      </c>
      <c r="F42" s="3" t="s">
        <v>18</v>
      </c>
      <c r="G42" s="4" t="s">
        <v>1692</v>
      </c>
      <c r="H42" s="6" t="s">
        <v>1693</v>
      </c>
      <c r="I42" s="4" t="s">
        <v>1694</v>
      </c>
      <c r="J42" s="7" t="s">
        <v>22</v>
      </c>
      <c r="K42" s="4" t="s">
        <v>80</v>
      </c>
      <c r="L42" s="4" t="s">
        <v>73</v>
      </c>
    </row>
    <row r="43" spans="1:12" ht="43.2" customHeight="1" x14ac:dyDescent="0.3">
      <c r="A43" s="3" t="s">
        <v>1695</v>
      </c>
      <c r="B43" s="4" t="s">
        <v>1696</v>
      </c>
      <c r="C43" s="4" t="s">
        <v>1697</v>
      </c>
      <c r="D43" s="5">
        <v>2026</v>
      </c>
      <c r="E43" s="3" t="s">
        <v>1494</v>
      </c>
      <c r="F43" s="3" t="s">
        <v>18</v>
      </c>
      <c r="G43" s="4" t="s">
        <v>1698</v>
      </c>
      <c r="H43" s="6" t="s">
        <v>1699</v>
      </c>
      <c r="I43" s="4" t="s">
        <v>1700</v>
      </c>
      <c r="J43" s="7" t="s">
        <v>22</v>
      </c>
      <c r="K43" s="4" t="s">
        <v>353</v>
      </c>
      <c r="L43" s="4" t="s">
        <v>24</v>
      </c>
    </row>
    <row r="44" spans="1:12" ht="43.2" customHeight="1" x14ac:dyDescent="0.3">
      <c r="A44" s="3" t="s">
        <v>1701</v>
      </c>
      <c r="B44" s="4" t="s">
        <v>1702</v>
      </c>
      <c r="C44" s="4" t="s">
        <v>1703</v>
      </c>
      <c r="D44" s="5">
        <v>2025</v>
      </c>
      <c r="E44" s="3" t="s">
        <v>1494</v>
      </c>
      <c r="F44" s="3" t="s">
        <v>18</v>
      </c>
      <c r="G44" s="4" t="s">
        <v>207</v>
      </c>
      <c r="H44" s="4" t="s">
        <v>207</v>
      </c>
      <c r="I44" s="4" t="s">
        <v>1704</v>
      </c>
      <c r="J44" s="7" t="s">
        <v>22</v>
      </c>
      <c r="K44" s="4" t="s">
        <v>23</v>
      </c>
      <c r="L44" s="4" t="s">
        <v>24</v>
      </c>
    </row>
    <row r="45" spans="1:12" ht="43.2" customHeight="1" x14ac:dyDescent="0.3">
      <c r="A45" s="3" t="s">
        <v>1705</v>
      </c>
      <c r="B45" s="4" t="s">
        <v>1706</v>
      </c>
      <c r="C45" s="4" t="s">
        <v>1707</v>
      </c>
      <c r="D45" s="5">
        <v>2024</v>
      </c>
      <c r="E45" s="3" t="s">
        <v>1494</v>
      </c>
      <c r="F45" s="3" t="s">
        <v>18</v>
      </c>
      <c r="G45" s="4" t="s">
        <v>1708</v>
      </c>
      <c r="H45" s="6" t="s">
        <v>1709</v>
      </c>
      <c r="I45" s="4" t="s">
        <v>1710</v>
      </c>
      <c r="J45" s="7" t="s">
        <v>22</v>
      </c>
      <c r="K45" s="4" t="s">
        <v>616</v>
      </c>
      <c r="L45" s="4" t="s">
        <v>24</v>
      </c>
    </row>
    <row r="46" spans="1:12" ht="43.2" customHeight="1" x14ac:dyDescent="0.3">
      <c r="A46" s="3" t="s">
        <v>1711</v>
      </c>
      <c r="B46" s="4" t="s">
        <v>1712</v>
      </c>
      <c r="C46" s="4" t="s">
        <v>1713</v>
      </c>
      <c r="D46" s="5">
        <v>2025</v>
      </c>
      <c r="E46" s="3" t="s">
        <v>1494</v>
      </c>
      <c r="F46" s="3" t="s">
        <v>18</v>
      </c>
      <c r="G46" s="4" t="s">
        <v>1714</v>
      </c>
      <c r="H46" s="6" t="s">
        <v>1715</v>
      </c>
      <c r="I46" s="4" t="s">
        <v>1716</v>
      </c>
      <c r="J46" s="7" t="s">
        <v>22</v>
      </c>
      <c r="K46" s="4" t="s">
        <v>37</v>
      </c>
      <c r="L46" s="4" t="s">
        <v>24</v>
      </c>
    </row>
    <row r="47" spans="1:12" ht="43.2" customHeight="1" x14ac:dyDescent="0.3">
      <c r="A47" s="3" t="s">
        <v>1717</v>
      </c>
      <c r="B47" s="4" t="s">
        <v>1718</v>
      </c>
      <c r="C47" s="4" t="s">
        <v>1719</v>
      </c>
      <c r="D47" s="5">
        <v>2025</v>
      </c>
      <c r="E47" s="3" t="s">
        <v>1494</v>
      </c>
      <c r="F47" s="3" t="s">
        <v>18</v>
      </c>
      <c r="G47" s="4" t="s">
        <v>207</v>
      </c>
      <c r="H47" s="4" t="s">
        <v>207</v>
      </c>
      <c r="I47" s="4" t="s">
        <v>1720</v>
      </c>
      <c r="J47" s="7" t="s">
        <v>22</v>
      </c>
      <c r="K47" s="4" t="s">
        <v>23</v>
      </c>
      <c r="L47" s="4" t="s">
        <v>24</v>
      </c>
    </row>
    <row r="48" spans="1:12" ht="43.2" customHeight="1" x14ac:dyDescent="0.3">
      <c r="A48" s="3" t="s">
        <v>1721</v>
      </c>
      <c r="B48" s="4" t="s">
        <v>1722</v>
      </c>
      <c r="C48" s="4" t="s">
        <v>1723</v>
      </c>
      <c r="D48" s="5">
        <v>2026</v>
      </c>
      <c r="E48" s="3" t="s">
        <v>1494</v>
      </c>
      <c r="F48" s="3" t="s">
        <v>18</v>
      </c>
      <c r="G48" s="4" t="s">
        <v>1724</v>
      </c>
      <c r="H48" s="6" t="s">
        <v>1725</v>
      </c>
      <c r="I48" s="4" t="s">
        <v>1726</v>
      </c>
      <c r="J48" s="7" t="s">
        <v>22</v>
      </c>
      <c r="K48" s="4" t="s">
        <v>141</v>
      </c>
      <c r="L48" s="4" t="s">
        <v>24</v>
      </c>
    </row>
    <row r="49" spans="1:12" ht="43.2" customHeight="1" x14ac:dyDescent="0.3">
      <c r="A49" s="3" t="s">
        <v>1727</v>
      </c>
      <c r="B49" s="4" t="s">
        <v>1728</v>
      </c>
      <c r="C49" s="4" t="s">
        <v>1729</v>
      </c>
      <c r="D49" s="5">
        <v>2024</v>
      </c>
      <c r="E49" s="3" t="s">
        <v>1494</v>
      </c>
      <c r="F49" s="3" t="s">
        <v>18</v>
      </c>
      <c r="G49" s="4" t="s">
        <v>207</v>
      </c>
      <c r="H49" s="4" t="s">
        <v>207</v>
      </c>
      <c r="I49" s="4" t="s">
        <v>1730</v>
      </c>
      <c r="J49" s="7" t="s">
        <v>22</v>
      </c>
      <c r="K49" s="4" t="s">
        <v>23</v>
      </c>
      <c r="L49" s="4" t="s">
        <v>24</v>
      </c>
    </row>
    <row r="50" spans="1:12" ht="43.2" customHeight="1" x14ac:dyDescent="0.3">
      <c r="A50" s="3" t="s">
        <v>1731</v>
      </c>
      <c r="B50" s="4" t="s">
        <v>1732</v>
      </c>
      <c r="C50" s="4" t="s">
        <v>1733</v>
      </c>
      <c r="D50" s="5">
        <v>2025</v>
      </c>
      <c r="E50" s="3" t="s">
        <v>1494</v>
      </c>
      <c r="F50" s="3" t="s">
        <v>18</v>
      </c>
      <c r="G50" s="4" t="s">
        <v>1734</v>
      </c>
      <c r="H50" s="6" t="s">
        <v>1735</v>
      </c>
      <c r="I50" s="4" t="s">
        <v>1736</v>
      </c>
      <c r="J50" s="7" t="s">
        <v>22</v>
      </c>
      <c r="K50" s="4" t="s">
        <v>1737</v>
      </c>
      <c r="L50" s="4" t="s">
        <v>24</v>
      </c>
    </row>
    <row r="51" spans="1:12" ht="43.2" customHeight="1" x14ac:dyDescent="0.3">
      <c r="A51" s="3" t="s">
        <v>1738</v>
      </c>
      <c r="B51" s="4" t="s">
        <v>1739</v>
      </c>
      <c r="C51" s="4" t="s">
        <v>1740</v>
      </c>
      <c r="D51" s="5">
        <v>2025</v>
      </c>
      <c r="E51" s="3" t="s">
        <v>1494</v>
      </c>
      <c r="F51" s="3" t="s">
        <v>18</v>
      </c>
      <c r="G51" s="4" t="s">
        <v>1741</v>
      </c>
      <c r="H51" s="6" t="s">
        <v>1742</v>
      </c>
      <c r="I51" s="4" t="s">
        <v>1743</v>
      </c>
      <c r="J51" s="7" t="s">
        <v>22</v>
      </c>
      <c r="K51" s="4" t="s">
        <v>23</v>
      </c>
      <c r="L51" s="4" t="s">
        <v>24</v>
      </c>
    </row>
    <row r="52" spans="1:12" ht="43.2" customHeight="1" x14ac:dyDescent="0.3">
      <c r="A52" s="3" t="s">
        <v>1744</v>
      </c>
      <c r="B52" s="4" t="s">
        <v>1745</v>
      </c>
      <c r="C52" s="4" t="s">
        <v>1746</v>
      </c>
      <c r="D52" s="5">
        <v>2025</v>
      </c>
      <c r="E52" s="3" t="s">
        <v>1494</v>
      </c>
      <c r="F52" s="3" t="s">
        <v>18</v>
      </c>
      <c r="G52" s="4" t="s">
        <v>1747</v>
      </c>
      <c r="H52" s="6" t="s">
        <v>1748</v>
      </c>
      <c r="I52" s="4" t="s">
        <v>1749</v>
      </c>
      <c r="J52" s="7" t="s">
        <v>22</v>
      </c>
      <c r="K52" s="4" t="s">
        <v>616</v>
      </c>
      <c r="L52" s="4" t="s">
        <v>24</v>
      </c>
    </row>
    <row r="53" spans="1:12" ht="43.2" customHeight="1" x14ac:dyDescent="0.3">
      <c r="A53" s="3" t="s">
        <v>1750</v>
      </c>
      <c r="B53" s="4" t="s">
        <v>662</v>
      </c>
      <c r="C53" s="4" t="s">
        <v>1751</v>
      </c>
      <c r="D53" s="5">
        <v>2025</v>
      </c>
      <c r="E53" s="3" t="s">
        <v>1494</v>
      </c>
      <c r="F53" s="3" t="s">
        <v>18</v>
      </c>
      <c r="G53" s="4" t="s">
        <v>664</v>
      </c>
      <c r="H53" s="6" t="s">
        <v>1752</v>
      </c>
      <c r="I53" s="4" t="s">
        <v>666</v>
      </c>
      <c r="J53" s="7" t="s">
        <v>22</v>
      </c>
      <c r="K53" s="4" t="s">
        <v>23</v>
      </c>
      <c r="L53" s="4" t="s">
        <v>73</v>
      </c>
    </row>
    <row r="54" spans="1:12" ht="43.2" customHeight="1" x14ac:dyDescent="0.3">
      <c r="A54" s="3" t="s">
        <v>1753</v>
      </c>
      <c r="B54" s="4" t="s">
        <v>268</v>
      </c>
      <c r="C54" s="4" t="s">
        <v>1754</v>
      </c>
      <c r="D54" s="5">
        <v>2026</v>
      </c>
      <c r="E54" s="3" t="s">
        <v>1494</v>
      </c>
      <c r="F54" s="3" t="s">
        <v>18</v>
      </c>
      <c r="G54" s="4" t="s">
        <v>270</v>
      </c>
      <c r="H54" s="6" t="s">
        <v>1755</v>
      </c>
      <c r="I54" s="4" t="s">
        <v>272</v>
      </c>
      <c r="J54" s="7" t="s">
        <v>22</v>
      </c>
      <c r="K54" s="4" t="s">
        <v>273</v>
      </c>
      <c r="L54" s="4" t="s">
        <v>73</v>
      </c>
    </row>
    <row r="55" spans="1:12" ht="43.2" customHeight="1" x14ac:dyDescent="0.3">
      <c r="A55" s="3" t="s">
        <v>1756</v>
      </c>
      <c r="B55" s="4" t="s">
        <v>1757</v>
      </c>
      <c r="C55" s="4" t="s">
        <v>1758</v>
      </c>
      <c r="D55" s="5">
        <v>2026</v>
      </c>
      <c r="E55" s="3" t="s">
        <v>1494</v>
      </c>
      <c r="F55" s="3" t="s">
        <v>18</v>
      </c>
      <c r="G55" s="4" t="s">
        <v>1759</v>
      </c>
      <c r="H55" s="6" t="s">
        <v>1760</v>
      </c>
      <c r="I55" s="4" t="s">
        <v>1761</v>
      </c>
      <c r="J55" s="7" t="s">
        <v>22</v>
      </c>
      <c r="K55" s="4" t="s">
        <v>127</v>
      </c>
      <c r="L55" s="4" t="s">
        <v>24</v>
      </c>
    </row>
    <row r="56" spans="1:12" ht="43.2" customHeight="1" x14ac:dyDescent="0.3">
      <c r="A56" s="3" t="s">
        <v>1762</v>
      </c>
      <c r="B56" s="4" t="s">
        <v>1763</v>
      </c>
      <c r="C56" s="4" t="s">
        <v>1764</v>
      </c>
      <c r="D56" s="5">
        <v>2025</v>
      </c>
      <c r="E56" s="3" t="s">
        <v>1494</v>
      </c>
      <c r="F56" s="3" t="s">
        <v>18</v>
      </c>
      <c r="G56" s="4" t="s">
        <v>1765</v>
      </c>
      <c r="H56" s="6" t="s">
        <v>1766</v>
      </c>
      <c r="I56" s="4" t="s">
        <v>1767</v>
      </c>
      <c r="J56" s="7" t="s">
        <v>22</v>
      </c>
      <c r="K56" s="4" t="s">
        <v>260</v>
      </c>
      <c r="L56" s="4" t="s">
        <v>24</v>
      </c>
    </row>
    <row r="57" spans="1:12" ht="43.2" customHeight="1" x14ac:dyDescent="0.3">
      <c r="A57" s="3" t="s">
        <v>1768</v>
      </c>
      <c r="B57" s="4" t="s">
        <v>1769</v>
      </c>
      <c r="C57" s="4" t="s">
        <v>1770</v>
      </c>
      <c r="D57" s="5">
        <v>2025</v>
      </c>
      <c r="E57" s="3" t="s">
        <v>1494</v>
      </c>
      <c r="F57" s="3" t="s">
        <v>18</v>
      </c>
      <c r="G57" s="4" t="s">
        <v>257</v>
      </c>
      <c r="H57" s="6" t="s">
        <v>1771</v>
      </c>
      <c r="I57" s="4" t="s">
        <v>1772</v>
      </c>
      <c r="J57" s="7" t="s">
        <v>22</v>
      </c>
      <c r="K57" s="4" t="s">
        <v>260</v>
      </c>
      <c r="L57" s="4" t="s">
        <v>73</v>
      </c>
    </row>
    <row r="58" spans="1:12" ht="43.2" customHeight="1" x14ac:dyDescent="0.3">
      <c r="A58" s="3" t="s">
        <v>1773</v>
      </c>
      <c r="B58" s="4" t="s">
        <v>1774</v>
      </c>
      <c r="C58" s="4" t="s">
        <v>1775</v>
      </c>
      <c r="D58" s="5">
        <v>2024</v>
      </c>
      <c r="E58" s="3" t="s">
        <v>1494</v>
      </c>
      <c r="F58" s="3" t="s">
        <v>18</v>
      </c>
      <c r="G58" s="4" t="s">
        <v>207</v>
      </c>
      <c r="H58" s="4" t="s">
        <v>207</v>
      </c>
      <c r="I58" s="4" t="s">
        <v>1776</v>
      </c>
      <c r="J58" s="7" t="s">
        <v>22</v>
      </c>
      <c r="K58" s="4" t="s">
        <v>1344</v>
      </c>
      <c r="L58" s="4" t="s">
        <v>24</v>
      </c>
    </row>
    <row r="59" spans="1:12" ht="43.2" customHeight="1" x14ac:dyDescent="0.3">
      <c r="A59" s="3" t="s">
        <v>1777</v>
      </c>
      <c r="B59" s="4" t="s">
        <v>1778</v>
      </c>
      <c r="C59" s="4" t="s">
        <v>1779</v>
      </c>
      <c r="D59" s="5">
        <v>2025</v>
      </c>
      <c r="E59" s="3" t="s">
        <v>1494</v>
      </c>
      <c r="F59" s="3" t="s">
        <v>18</v>
      </c>
      <c r="G59" s="4" t="s">
        <v>1780</v>
      </c>
      <c r="H59" s="6" t="s">
        <v>1781</v>
      </c>
      <c r="I59" s="4" t="s">
        <v>1782</v>
      </c>
      <c r="J59" s="7" t="s">
        <v>22</v>
      </c>
      <c r="K59" s="4" t="s">
        <v>23</v>
      </c>
      <c r="L59" s="4" t="s">
        <v>24</v>
      </c>
    </row>
    <row r="60" spans="1:12" ht="43.2" customHeight="1" x14ac:dyDescent="0.3">
      <c r="A60" s="3" t="s">
        <v>1783</v>
      </c>
      <c r="B60" s="4" t="s">
        <v>1784</v>
      </c>
      <c r="C60" s="4" t="s">
        <v>1785</v>
      </c>
      <c r="D60" s="5">
        <v>2025</v>
      </c>
      <c r="E60" s="3" t="s">
        <v>1494</v>
      </c>
      <c r="F60" s="3" t="s">
        <v>18</v>
      </c>
      <c r="G60" s="4" t="s">
        <v>1786</v>
      </c>
      <c r="H60" s="6" t="s">
        <v>1787</v>
      </c>
      <c r="I60" s="4" t="s">
        <v>1788</v>
      </c>
      <c r="J60" s="7" t="s">
        <v>22</v>
      </c>
      <c r="K60" s="4" t="s">
        <v>127</v>
      </c>
      <c r="L60" s="4" t="s">
        <v>73</v>
      </c>
    </row>
    <row r="61" spans="1:12" ht="43.2" customHeight="1" x14ac:dyDescent="0.3">
      <c r="A61" s="3" t="s">
        <v>1789</v>
      </c>
      <c r="B61" s="4" t="s">
        <v>1790</v>
      </c>
      <c r="C61" s="4" t="s">
        <v>1791</v>
      </c>
      <c r="D61" s="5">
        <v>2025</v>
      </c>
      <c r="E61" s="3" t="s">
        <v>1494</v>
      </c>
      <c r="F61" s="3" t="s">
        <v>18</v>
      </c>
      <c r="G61" s="4" t="s">
        <v>632</v>
      </c>
      <c r="H61" s="6" t="s">
        <v>1792</v>
      </c>
      <c r="I61" s="4" t="s">
        <v>634</v>
      </c>
      <c r="J61" s="7" t="s">
        <v>22</v>
      </c>
      <c r="K61" s="4" t="s">
        <v>23</v>
      </c>
      <c r="L61" s="4" t="s">
        <v>73</v>
      </c>
    </row>
    <row r="62" spans="1:12" ht="43.2" customHeight="1" x14ac:dyDescent="0.3">
      <c r="A62" s="3" t="s">
        <v>1793</v>
      </c>
      <c r="B62" s="4" t="s">
        <v>1794</v>
      </c>
      <c r="C62" s="4" t="s">
        <v>1795</v>
      </c>
      <c r="D62" s="5">
        <v>2025</v>
      </c>
      <c r="E62" s="3" t="s">
        <v>1494</v>
      </c>
      <c r="F62" s="3" t="s">
        <v>18</v>
      </c>
      <c r="G62" s="4" t="s">
        <v>1796</v>
      </c>
      <c r="H62" s="6" t="s">
        <v>1797</v>
      </c>
      <c r="I62" s="4" t="s">
        <v>1798</v>
      </c>
      <c r="J62" s="7" t="s">
        <v>22</v>
      </c>
      <c r="K62" s="4" t="s">
        <v>141</v>
      </c>
      <c r="L62" s="4" t="s">
        <v>24</v>
      </c>
    </row>
    <row r="63" spans="1:12" ht="43.2" customHeight="1" x14ac:dyDescent="0.3">
      <c r="A63" s="3" t="s">
        <v>1799</v>
      </c>
      <c r="B63" s="4" t="s">
        <v>1800</v>
      </c>
      <c r="C63" s="4" t="s">
        <v>1801</v>
      </c>
      <c r="D63" s="5">
        <v>2025</v>
      </c>
      <c r="E63" s="3" t="s">
        <v>1494</v>
      </c>
      <c r="F63" s="3" t="s">
        <v>18</v>
      </c>
      <c r="G63" s="4" t="s">
        <v>1802</v>
      </c>
      <c r="H63" s="6" t="s">
        <v>1803</v>
      </c>
      <c r="I63" s="4" t="s">
        <v>1804</v>
      </c>
      <c r="J63" s="7" t="s">
        <v>22</v>
      </c>
      <c r="K63" s="4" t="s">
        <v>23</v>
      </c>
      <c r="L63" s="4" t="s">
        <v>24</v>
      </c>
    </row>
    <row r="64" spans="1:12" ht="43.2" customHeight="1" x14ac:dyDescent="0.3">
      <c r="A64" s="3" t="s">
        <v>1805</v>
      </c>
      <c r="B64" s="4" t="s">
        <v>465</v>
      </c>
      <c r="C64" s="4" t="s">
        <v>1806</v>
      </c>
      <c r="D64" s="5">
        <v>2026</v>
      </c>
      <c r="E64" s="3" t="s">
        <v>1494</v>
      </c>
      <c r="F64" s="3" t="s">
        <v>18</v>
      </c>
      <c r="G64" s="4" t="s">
        <v>467</v>
      </c>
      <c r="H64" s="6" t="s">
        <v>1807</v>
      </c>
      <c r="I64" s="4" t="s">
        <v>1808</v>
      </c>
      <c r="J64" s="7" t="s">
        <v>22</v>
      </c>
      <c r="K64" s="4" t="s">
        <v>470</v>
      </c>
      <c r="L64" s="4" t="s">
        <v>73</v>
      </c>
    </row>
    <row r="65" spans="1:12" ht="43.2" customHeight="1" x14ac:dyDescent="0.3">
      <c r="A65" s="3" t="s">
        <v>1809</v>
      </c>
      <c r="B65" s="4" t="s">
        <v>243</v>
      </c>
      <c r="C65" s="4" t="s">
        <v>1810</v>
      </c>
      <c r="D65" s="5">
        <v>2025</v>
      </c>
      <c r="E65" s="3" t="s">
        <v>1494</v>
      </c>
      <c r="F65" s="3" t="s">
        <v>18</v>
      </c>
      <c r="G65" s="4" t="s">
        <v>245</v>
      </c>
      <c r="H65" s="6" t="s">
        <v>1811</v>
      </c>
      <c r="I65" s="4" t="s">
        <v>247</v>
      </c>
      <c r="J65" s="8" t="s">
        <v>50</v>
      </c>
      <c r="K65" s="4" t="s">
        <v>23</v>
      </c>
      <c r="L65" s="4" t="s">
        <v>81</v>
      </c>
    </row>
    <row r="66" spans="1:12" ht="43.2" customHeight="1" x14ac:dyDescent="0.3">
      <c r="A66" s="3" t="s">
        <v>1812</v>
      </c>
      <c r="B66" s="4" t="s">
        <v>459</v>
      </c>
      <c r="C66" s="4" t="s">
        <v>1813</v>
      </c>
      <c r="D66" s="5">
        <v>2024</v>
      </c>
      <c r="E66" s="3" t="s">
        <v>1494</v>
      </c>
      <c r="F66" s="3" t="s">
        <v>18</v>
      </c>
      <c r="G66" s="4" t="s">
        <v>461</v>
      </c>
      <c r="H66" s="6" t="s">
        <v>1814</v>
      </c>
      <c r="I66" s="4" t="s">
        <v>1815</v>
      </c>
      <c r="J66" s="7" t="s">
        <v>22</v>
      </c>
      <c r="K66" s="4" t="s">
        <v>51</v>
      </c>
      <c r="L66" s="4" t="s">
        <v>73</v>
      </c>
    </row>
    <row r="67" spans="1:12" ht="43.2" customHeight="1" x14ac:dyDescent="0.3">
      <c r="A67" s="3" t="s">
        <v>1816</v>
      </c>
      <c r="B67" s="4" t="s">
        <v>1817</v>
      </c>
      <c r="C67" s="4" t="s">
        <v>1818</v>
      </c>
      <c r="D67" s="5">
        <v>2024</v>
      </c>
      <c r="E67" s="3" t="s">
        <v>1494</v>
      </c>
      <c r="F67" s="3" t="s">
        <v>18</v>
      </c>
      <c r="G67" s="4" t="s">
        <v>207</v>
      </c>
      <c r="H67" s="4" t="s">
        <v>207</v>
      </c>
      <c r="I67" s="4" t="s">
        <v>1819</v>
      </c>
      <c r="J67" s="7" t="s">
        <v>22</v>
      </c>
      <c r="K67" s="4" t="s">
        <v>23</v>
      </c>
      <c r="L67" s="4" t="s">
        <v>24</v>
      </c>
    </row>
    <row r="68" spans="1:12" ht="43.2" customHeight="1" x14ac:dyDescent="0.3">
      <c r="A68" s="3" t="s">
        <v>1820</v>
      </c>
      <c r="B68" s="4" t="s">
        <v>1821</v>
      </c>
      <c r="C68" s="4" t="s">
        <v>1822</v>
      </c>
      <c r="D68" s="5">
        <v>2026</v>
      </c>
      <c r="E68" s="3" t="s">
        <v>1494</v>
      </c>
      <c r="F68" s="3" t="s">
        <v>18</v>
      </c>
      <c r="G68" s="4" t="s">
        <v>1823</v>
      </c>
      <c r="H68" s="6" t="s">
        <v>1824</v>
      </c>
      <c r="I68" s="4" t="s">
        <v>1825</v>
      </c>
      <c r="J68" s="7" t="s">
        <v>22</v>
      </c>
      <c r="K68" s="4" t="s">
        <v>23</v>
      </c>
      <c r="L68" s="4" t="s">
        <v>24</v>
      </c>
    </row>
    <row r="69" spans="1:12" ht="43.2" customHeight="1" x14ac:dyDescent="0.3">
      <c r="A69" s="3" t="s">
        <v>1826</v>
      </c>
      <c r="B69" s="4" t="s">
        <v>1827</v>
      </c>
      <c r="C69" s="4" t="s">
        <v>1828</v>
      </c>
      <c r="D69" s="5">
        <v>2026</v>
      </c>
      <c r="E69" s="3" t="s">
        <v>1494</v>
      </c>
      <c r="F69" s="3" t="s">
        <v>18</v>
      </c>
      <c r="G69" s="4" t="s">
        <v>1829</v>
      </c>
      <c r="H69" s="6" t="s">
        <v>1830</v>
      </c>
      <c r="I69" s="4" t="s">
        <v>1831</v>
      </c>
      <c r="J69" s="7" t="s">
        <v>22</v>
      </c>
      <c r="K69" s="4" t="s">
        <v>1344</v>
      </c>
      <c r="L69" s="4" t="s">
        <v>73</v>
      </c>
    </row>
    <row r="70" spans="1:12" ht="43.2" customHeight="1" x14ac:dyDescent="0.3">
      <c r="A70" s="3" t="s">
        <v>1832</v>
      </c>
      <c r="B70" s="4" t="s">
        <v>1833</v>
      </c>
      <c r="C70" s="4" t="s">
        <v>1834</v>
      </c>
      <c r="D70" s="5">
        <v>2026</v>
      </c>
      <c r="E70" s="3" t="s">
        <v>1494</v>
      </c>
      <c r="F70" s="3" t="s">
        <v>18</v>
      </c>
      <c r="G70" s="4" t="s">
        <v>1835</v>
      </c>
      <c r="H70" s="6" t="s">
        <v>1836</v>
      </c>
      <c r="I70" s="4" t="s">
        <v>1837</v>
      </c>
      <c r="J70" s="7" t="s">
        <v>22</v>
      </c>
      <c r="K70" s="4" t="s">
        <v>235</v>
      </c>
      <c r="L70" s="4" t="s">
        <v>24</v>
      </c>
    </row>
    <row r="71" spans="1:12" ht="43.2" customHeight="1" x14ac:dyDescent="0.3">
      <c r="A71" s="3" t="s">
        <v>1838</v>
      </c>
      <c r="B71" s="4" t="s">
        <v>526</v>
      </c>
      <c r="C71" s="4" t="s">
        <v>1839</v>
      </c>
      <c r="D71" s="5">
        <v>2025</v>
      </c>
      <c r="E71" s="3" t="s">
        <v>1494</v>
      </c>
      <c r="F71" s="3" t="s">
        <v>18</v>
      </c>
      <c r="G71" s="4" t="s">
        <v>528</v>
      </c>
      <c r="H71" s="6" t="s">
        <v>1840</v>
      </c>
      <c r="I71" s="4" t="s">
        <v>530</v>
      </c>
      <c r="J71" s="7" t="s">
        <v>22</v>
      </c>
      <c r="K71" s="4" t="s">
        <v>141</v>
      </c>
      <c r="L71" s="4" t="s">
        <v>73</v>
      </c>
    </row>
    <row r="72" spans="1:12" ht="43.2" customHeight="1" x14ac:dyDescent="0.3">
      <c r="A72" s="3" t="s">
        <v>1841</v>
      </c>
      <c r="B72" s="4" t="s">
        <v>1842</v>
      </c>
      <c r="C72" s="4" t="s">
        <v>1843</v>
      </c>
      <c r="D72" s="5">
        <v>2024</v>
      </c>
      <c r="E72" s="3" t="s">
        <v>1494</v>
      </c>
      <c r="F72" s="3" t="s">
        <v>18</v>
      </c>
      <c r="G72" s="4" t="s">
        <v>1844</v>
      </c>
      <c r="H72" s="6" t="s">
        <v>1845</v>
      </c>
      <c r="I72" s="4" t="s">
        <v>1846</v>
      </c>
      <c r="J72" s="7" t="s">
        <v>22</v>
      </c>
      <c r="K72" s="4" t="s">
        <v>353</v>
      </c>
      <c r="L72" s="4" t="s">
        <v>24</v>
      </c>
    </row>
    <row r="73" spans="1:12" ht="43.2" customHeight="1" x14ac:dyDescent="0.3">
      <c r="A73" s="3" t="s">
        <v>1847</v>
      </c>
      <c r="B73" s="4" t="s">
        <v>1848</v>
      </c>
      <c r="C73" s="4" t="s">
        <v>1849</v>
      </c>
      <c r="D73" s="5">
        <v>2025</v>
      </c>
      <c r="E73" s="3" t="s">
        <v>1494</v>
      </c>
      <c r="F73" s="3" t="s">
        <v>18</v>
      </c>
      <c r="G73" s="4" t="s">
        <v>1850</v>
      </c>
      <c r="H73" s="6" t="s">
        <v>1851</v>
      </c>
      <c r="I73" s="4" t="s">
        <v>1852</v>
      </c>
      <c r="J73" s="8" t="s">
        <v>50</v>
      </c>
      <c r="K73" s="4" t="s">
        <v>23</v>
      </c>
      <c r="L73" s="4" t="s">
        <v>52</v>
      </c>
    </row>
    <row r="74" spans="1:12" ht="43.2" customHeight="1" x14ac:dyDescent="0.3">
      <c r="A74" s="3" t="s">
        <v>1853</v>
      </c>
      <c r="B74" s="4" t="s">
        <v>544</v>
      </c>
      <c r="C74" s="4" t="s">
        <v>1854</v>
      </c>
      <c r="D74" s="5">
        <v>2026</v>
      </c>
      <c r="E74" s="3" t="s">
        <v>1494</v>
      </c>
      <c r="F74" s="3" t="s">
        <v>18</v>
      </c>
      <c r="G74" s="4" t="s">
        <v>546</v>
      </c>
      <c r="H74" s="6" t="s">
        <v>1855</v>
      </c>
      <c r="I74" s="4" t="s">
        <v>1856</v>
      </c>
      <c r="J74" s="7" t="s">
        <v>22</v>
      </c>
      <c r="K74" s="4" t="s">
        <v>23</v>
      </c>
      <c r="L74" s="4" t="s">
        <v>73</v>
      </c>
    </row>
    <row r="75" spans="1:12" ht="43.2" customHeight="1" x14ac:dyDescent="0.3">
      <c r="A75" s="3" t="s">
        <v>1857</v>
      </c>
      <c r="B75" s="4" t="s">
        <v>562</v>
      </c>
      <c r="C75" s="4" t="s">
        <v>1858</v>
      </c>
      <c r="D75" s="5">
        <v>2025</v>
      </c>
      <c r="E75" s="3" t="s">
        <v>1494</v>
      </c>
      <c r="F75" s="3" t="s">
        <v>18</v>
      </c>
      <c r="G75" s="4" t="s">
        <v>564</v>
      </c>
      <c r="H75" s="6" t="s">
        <v>1859</v>
      </c>
      <c r="I75" s="4" t="s">
        <v>1860</v>
      </c>
      <c r="J75" s="7" t="s">
        <v>22</v>
      </c>
      <c r="K75" s="4" t="s">
        <v>23</v>
      </c>
      <c r="L75" s="4" t="s">
        <v>73</v>
      </c>
    </row>
    <row r="76" spans="1:12" ht="43.2" customHeight="1" x14ac:dyDescent="0.3">
      <c r="A76" s="3" t="s">
        <v>1861</v>
      </c>
      <c r="B76" s="4" t="s">
        <v>1862</v>
      </c>
      <c r="C76" s="4" t="s">
        <v>1863</v>
      </c>
      <c r="D76" s="5">
        <v>2025</v>
      </c>
      <c r="E76" s="3" t="s">
        <v>1494</v>
      </c>
      <c r="F76" s="3" t="s">
        <v>18</v>
      </c>
      <c r="G76" s="4" t="s">
        <v>718</v>
      </c>
      <c r="H76" s="6" t="s">
        <v>1864</v>
      </c>
      <c r="I76" s="4" t="s">
        <v>1865</v>
      </c>
      <c r="J76" s="7" t="s">
        <v>22</v>
      </c>
      <c r="K76" s="4" t="s">
        <v>579</v>
      </c>
      <c r="L76" s="4" t="s">
        <v>73</v>
      </c>
    </row>
    <row r="77" spans="1:12" ht="43.2" customHeight="1" x14ac:dyDescent="0.3">
      <c r="A77" s="3" t="s">
        <v>1866</v>
      </c>
      <c r="B77" s="4" t="s">
        <v>680</v>
      </c>
      <c r="C77" s="4" t="s">
        <v>1867</v>
      </c>
      <c r="D77" s="5">
        <v>2025</v>
      </c>
      <c r="E77" s="3" t="s">
        <v>1494</v>
      </c>
      <c r="F77" s="3" t="s">
        <v>18</v>
      </c>
      <c r="G77" s="4" t="s">
        <v>682</v>
      </c>
      <c r="H77" s="6" t="s">
        <v>1868</v>
      </c>
      <c r="I77" s="4" t="s">
        <v>684</v>
      </c>
      <c r="J77" s="7" t="s">
        <v>22</v>
      </c>
      <c r="K77" s="4" t="s">
        <v>37</v>
      </c>
      <c r="L77" s="4" t="s">
        <v>73</v>
      </c>
    </row>
    <row r="78" spans="1:12" ht="43.2" customHeight="1" x14ac:dyDescent="0.3">
      <c r="A78" s="3" t="s">
        <v>1869</v>
      </c>
      <c r="B78" s="4" t="s">
        <v>1870</v>
      </c>
      <c r="C78" s="4" t="s">
        <v>1871</v>
      </c>
      <c r="D78" s="5">
        <v>2025</v>
      </c>
      <c r="E78" s="3" t="s">
        <v>1494</v>
      </c>
      <c r="F78" s="3" t="s">
        <v>18</v>
      </c>
      <c r="G78" s="4" t="s">
        <v>207</v>
      </c>
      <c r="H78" s="4" t="s">
        <v>207</v>
      </c>
      <c r="I78" s="4" t="s">
        <v>1872</v>
      </c>
      <c r="J78" s="7" t="s">
        <v>22</v>
      </c>
      <c r="K78" s="4" t="s">
        <v>1344</v>
      </c>
      <c r="L78" s="4" t="s">
        <v>24</v>
      </c>
    </row>
    <row r="79" spans="1:12" ht="43.2" customHeight="1" x14ac:dyDescent="0.3">
      <c r="A79" s="3" t="s">
        <v>1873</v>
      </c>
      <c r="B79" s="4" t="s">
        <v>1874</v>
      </c>
      <c r="C79" s="4" t="s">
        <v>1875</v>
      </c>
      <c r="D79" s="5">
        <v>2025</v>
      </c>
      <c r="E79" s="3" t="s">
        <v>1494</v>
      </c>
      <c r="F79" s="3" t="s">
        <v>18</v>
      </c>
      <c r="G79" s="4" t="s">
        <v>1876</v>
      </c>
      <c r="H79" s="6" t="s">
        <v>1877</v>
      </c>
      <c r="I79" s="4" t="s">
        <v>1878</v>
      </c>
      <c r="J79" s="7" t="s">
        <v>22</v>
      </c>
      <c r="K79" s="4" t="s">
        <v>260</v>
      </c>
      <c r="L79" s="4" t="s">
        <v>24</v>
      </c>
    </row>
    <row r="80" spans="1:12" ht="43.2" customHeight="1" x14ac:dyDescent="0.3">
      <c r="A80" s="3" t="s">
        <v>1879</v>
      </c>
      <c r="B80" s="4" t="s">
        <v>1880</v>
      </c>
      <c r="C80" s="4" t="s">
        <v>1881</v>
      </c>
      <c r="D80" s="5">
        <v>2025</v>
      </c>
      <c r="E80" s="3" t="s">
        <v>1494</v>
      </c>
      <c r="F80" s="3" t="s">
        <v>18</v>
      </c>
      <c r="G80" s="4" t="s">
        <v>1882</v>
      </c>
      <c r="H80" s="6" t="s">
        <v>1883</v>
      </c>
      <c r="I80" s="4" t="s">
        <v>1884</v>
      </c>
      <c r="J80" s="7" t="s">
        <v>22</v>
      </c>
      <c r="K80" s="4" t="s">
        <v>120</v>
      </c>
      <c r="L80" s="4" t="s">
        <v>24</v>
      </c>
    </row>
    <row r="81" spans="1:12" ht="43.2" customHeight="1" x14ac:dyDescent="0.3">
      <c r="A81" s="3" t="s">
        <v>1885</v>
      </c>
      <c r="B81" s="4" t="s">
        <v>1886</v>
      </c>
      <c r="C81" s="4" t="s">
        <v>1887</v>
      </c>
      <c r="D81" s="5">
        <v>2025</v>
      </c>
      <c r="E81" s="3" t="s">
        <v>1494</v>
      </c>
      <c r="F81" s="3" t="s">
        <v>18</v>
      </c>
      <c r="G81" s="4" t="s">
        <v>207</v>
      </c>
      <c r="H81" s="4" t="s">
        <v>207</v>
      </c>
      <c r="I81" s="4" t="s">
        <v>1888</v>
      </c>
      <c r="J81" s="7" t="s">
        <v>22</v>
      </c>
      <c r="K81" s="4" t="s">
        <v>23</v>
      </c>
      <c r="L81" s="4" t="s">
        <v>24</v>
      </c>
    </row>
    <row r="82" spans="1:12" ht="43.2" customHeight="1" x14ac:dyDescent="0.3">
      <c r="A82" s="3" t="s">
        <v>1889</v>
      </c>
      <c r="B82" s="4" t="s">
        <v>1890</v>
      </c>
      <c r="C82" s="4" t="s">
        <v>1891</v>
      </c>
      <c r="D82" s="5">
        <v>2024</v>
      </c>
      <c r="E82" s="3" t="s">
        <v>1494</v>
      </c>
      <c r="F82" s="3" t="s">
        <v>18</v>
      </c>
      <c r="G82" s="4" t="s">
        <v>207</v>
      </c>
      <c r="H82" s="4" t="s">
        <v>207</v>
      </c>
      <c r="I82" s="4" t="s">
        <v>1892</v>
      </c>
      <c r="J82" s="7" t="s">
        <v>22</v>
      </c>
      <c r="K82" s="4" t="s">
        <v>141</v>
      </c>
      <c r="L82" s="4" t="s">
        <v>24</v>
      </c>
    </row>
    <row r="83" spans="1:12" ht="43.2" customHeight="1" x14ac:dyDescent="0.3">
      <c r="A83" s="3" t="s">
        <v>1893</v>
      </c>
      <c r="B83" s="4" t="s">
        <v>1894</v>
      </c>
      <c r="C83" s="4" t="s">
        <v>1895</v>
      </c>
      <c r="D83" s="5">
        <v>2025</v>
      </c>
      <c r="E83" s="3" t="s">
        <v>1494</v>
      </c>
      <c r="F83" s="3" t="s">
        <v>18</v>
      </c>
      <c r="G83" s="4" t="s">
        <v>1896</v>
      </c>
      <c r="H83" s="6" t="s">
        <v>1897</v>
      </c>
      <c r="I83" s="4" t="s">
        <v>1898</v>
      </c>
      <c r="J83" s="7" t="s">
        <v>22</v>
      </c>
      <c r="K83" s="4" t="s">
        <v>235</v>
      </c>
      <c r="L83" s="4" t="s">
        <v>24</v>
      </c>
    </row>
    <row r="84" spans="1:12" ht="43.2" customHeight="1" x14ac:dyDescent="0.3">
      <c r="A84" s="3" t="s">
        <v>1899</v>
      </c>
      <c r="B84" s="4" t="s">
        <v>1900</v>
      </c>
      <c r="C84" s="4" t="s">
        <v>1901</v>
      </c>
      <c r="D84" s="5">
        <v>2025</v>
      </c>
      <c r="E84" s="3" t="s">
        <v>1494</v>
      </c>
      <c r="F84" s="3" t="s">
        <v>18</v>
      </c>
      <c r="G84" s="4" t="s">
        <v>1902</v>
      </c>
      <c r="H84" s="6" t="s">
        <v>1903</v>
      </c>
      <c r="I84" s="4" t="s">
        <v>1904</v>
      </c>
      <c r="J84" s="7" t="s">
        <v>22</v>
      </c>
      <c r="K84" s="4" t="s">
        <v>161</v>
      </c>
      <c r="L84" s="4" t="s">
        <v>24</v>
      </c>
    </row>
    <row r="85" spans="1:12" ht="43.2" customHeight="1" x14ac:dyDescent="0.3">
      <c r="A85" s="3" t="s">
        <v>1905</v>
      </c>
      <c r="B85" s="4" t="s">
        <v>1906</v>
      </c>
      <c r="C85" s="4" t="s">
        <v>1907</v>
      </c>
      <c r="D85" s="5">
        <v>2026</v>
      </c>
      <c r="E85" s="3" t="s">
        <v>1494</v>
      </c>
      <c r="F85" s="3" t="s">
        <v>18</v>
      </c>
      <c r="G85" s="4" t="s">
        <v>1908</v>
      </c>
      <c r="H85" s="6" t="s">
        <v>1909</v>
      </c>
      <c r="I85" s="4" t="s">
        <v>1910</v>
      </c>
      <c r="J85" s="7" t="s">
        <v>22</v>
      </c>
      <c r="K85" s="4" t="s">
        <v>66</v>
      </c>
      <c r="L85" s="4" t="s">
        <v>24</v>
      </c>
    </row>
    <row r="86" spans="1:12" ht="43.2" customHeight="1" x14ac:dyDescent="0.3">
      <c r="A86" s="3" t="s">
        <v>1911</v>
      </c>
      <c r="B86" s="4" t="s">
        <v>1912</v>
      </c>
      <c r="C86" s="4" t="s">
        <v>1913</v>
      </c>
      <c r="D86" s="5">
        <v>2026</v>
      </c>
      <c r="E86" s="3" t="s">
        <v>1494</v>
      </c>
      <c r="F86" s="3" t="s">
        <v>18</v>
      </c>
      <c r="G86" s="4" t="s">
        <v>1914</v>
      </c>
      <c r="H86" s="6" t="s">
        <v>1915</v>
      </c>
      <c r="I86" s="4" t="s">
        <v>1916</v>
      </c>
      <c r="J86" s="7" t="s">
        <v>22</v>
      </c>
      <c r="K86" s="4" t="s">
        <v>51</v>
      </c>
      <c r="L86" s="4" t="s">
        <v>24</v>
      </c>
    </row>
    <row r="87" spans="1:12" ht="43.2" customHeight="1" x14ac:dyDescent="0.3">
      <c r="A87" s="3" t="s">
        <v>1917</v>
      </c>
      <c r="B87" s="4" t="s">
        <v>379</v>
      </c>
      <c r="C87" s="4" t="s">
        <v>1918</v>
      </c>
      <c r="D87" s="5">
        <v>2025</v>
      </c>
      <c r="E87" s="3" t="s">
        <v>1494</v>
      </c>
      <c r="F87" s="3" t="s">
        <v>18</v>
      </c>
      <c r="G87" s="4" t="s">
        <v>381</v>
      </c>
      <c r="H87" s="6" t="s">
        <v>1919</v>
      </c>
      <c r="I87" s="4" t="s">
        <v>1920</v>
      </c>
      <c r="J87" s="7" t="s">
        <v>22</v>
      </c>
      <c r="K87" s="4" t="s">
        <v>23</v>
      </c>
      <c r="L87" s="4" t="s">
        <v>73</v>
      </c>
    </row>
    <row r="88" spans="1:12" ht="43.2" customHeight="1" x14ac:dyDescent="0.3">
      <c r="A88" s="3" t="s">
        <v>1921</v>
      </c>
      <c r="B88" s="4" t="s">
        <v>1922</v>
      </c>
      <c r="C88" s="4" t="s">
        <v>1923</v>
      </c>
      <c r="D88" s="5">
        <v>2025</v>
      </c>
      <c r="E88" s="3" t="s">
        <v>1494</v>
      </c>
      <c r="F88" s="3" t="s">
        <v>18</v>
      </c>
      <c r="G88" s="4" t="s">
        <v>1924</v>
      </c>
      <c r="H88" s="6" t="s">
        <v>1925</v>
      </c>
      <c r="I88" s="4" t="s">
        <v>1926</v>
      </c>
      <c r="J88" s="7" t="s">
        <v>22</v>
      </c>
      <c r="K88" s="4" t="s">
        <v>260</v>
      </c>
      <c r="L88" s="4" t="s">
        <v>24</v>
      </c>
    </row>
    <row r="89" spans="1:12" ht="43.2" customHeight="1" x14ac:dyDescent="0.3">
      <c r="A89" s="3" t="s">
        <v>1927</v>
      </c>
      <c r="B89" s="4" t="s">
        <v>1928</v>
      </c>
      <c r="C89" s="4" t="s">
        <v>1929</v>
      </c>
      <c r="D89" s="5">
        <v>2025</v>
      </c>
      <c r="E89" s="3" t="s">
        <v>1494</v>
      </c>
      <c r="F89" s="3" t="s">
        <v>18</v>
      </c>
      <c r="G89" s="4" t="s">
        <v>1930</v>
      </c>
      <c r="H89" s="6" t="s">
        <v>1931</v>
      </c>
      <c r="I89" s="4" t="s">
        <v>1932</v>
      </c>
      <c r="J89" s="7" t="s">
        <v>22</v>
      </c>
      <c r="K89" s="4" t="s">
        <v>1255</v>
      </c>
      <c r="L89" s="4" t="s">
        <v>24</v>
      </c>
    </row>
  </sheetData>
  <mergeCells count="2">
    <mergeCell ref="A2:L2"/>
    <mergeCell ref="A1:L1"/>
  </mergeCells>
  <pageMargins left="0.7" right="0.7" top="0.75" bottom="0.75" header="0.3" footer="0.3"/>
  <pageSetup paperSize="9"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1"/>
  <sheetViews>
    <sheetView workbookViewId="0">
      <selection sqref="A1:L1"/>
    </sheetView>
  </sheetViews>
  <sheetFormatPr defaultRowHeight="14.4" x14ac:dyDescent="0.3"/>
  <cols>
    <col min="1" max="1" width="15" customWidth="1"/>
    <col min="2" max="2" width="46" customWidth="1"/>
    <col min="3" max="3" width="34" customWidth="1"/>
    <col min="4" max="4" width="11" customWidth="1"/>
    <col min="5" max="5" width="18" customWidth="1"/>
    <col min="6" max="6" width="16" customWidth="1"/>
    <col min="7" max="7" width="24" customWidth="1"/>
    <col min="8" max="8" width="30" customWidth="1"/>
    <col min="9" max="9" width="80" customWidth="1"/>
    <col min="10" max="10" width="18" customWidth="1"/>
    <col min="11" max="11" width="26" customWidth="1"/>
    <col min="12" max="12" width="34" customWidth="1"/>
  </cols>
  <sheetData>
    <row r="1" spans="1:12" ht="19.2" customHeight="1" x14ac:dyDescent="0.3">
      <c r="A1" s="31" t="s">
        <v>1933</v>
      </c>
      <c r="B1" s="30"/>
      <c r="C1" s="30"/>
      <c r="D1" s="30"/>
      <c r="E1" s="30"/>
      <c r="F1" s="30"/>
      <c r="G1" s="30"/>
      <c r="H1" s="30"/>
      <c r="I1" s="30"/>
      <c r="J1" s="30"/>
      <c r="K1" s="30"/>
      <c r="L1" s="30"/>
    </row>
    <row r="2" spans="1:12" ht="28.8" customHeight="1" x14ac:dyDescent="0.3">
      <c r="A2" s="29" t="s">
        <v>1934</v>
      </c>
      <c r="B2" s="30"/>
      <c r="C2" s="30"/>
      <c r="D2" s="30"/>
      <c r="E2" s="30"/>
      <c r="F2" s="30"/>
      <c r="G2" s="30"/>
      <c r="H2" s="30"/>
      <c r="I2" s="30"/>
      <c r="J2" s="30"/>
      <c r="K2" s="30"/>
      <c r="L2" s="30"/>
    </row>
    <row r="4" spans="1:12" ht="28.8" x14ac:dyDescent="0.3">
      <c r="A4" s="2" t="s">
        <v>2</v>
      </c>
      <c r="B4" s="2" t="s">
        <v>3</v>
      </c>
      <c r="C4" s="2" t="s">
        <v>4</v>
      </c>
      <c r="D4" s="2" t="s">
        <v>5</v>
      </c>
      <c r="E4" s="2" t="s">
        <v>6</v>
      </c>
      <c r="F4" s="2" t="s">
        <v>7</v>
      </c>
      <c r="G4" s="2" t="s">
        <v>8</v>
      </c>
      <c r="H4" s="2" t="s">
        <v>9</v>
      </c>
      <c r="I4" s="2" t="s">
        <v>10</v>
      </c>
      <c r="J4" s="2" t="s">
        <v>11</v>
      </c>
      <c r="K4" s="2" t="s">
        <v>12</v>
      </c>
      <c r="L4" s="2" t="s">
        <v>13</v>
      </c>
    </row>
    <row r="5" spans="1:12" ht="43.2" customHeight="1" x14ac:dyDescent="0.3">
      <c r="A5" s="3" t="s">
        <v>1935</v>
      </c>
      <c r="B5" s="4" t="s">
        <v>1936</v>
      </c>
      <c r="C5" s="4" t="s">
        <v>1937</v>
      </c>
      <c r="D5" s="5">
        <v>2025</v>
      </c>
      <c r="E5" s="3" t="s">
        <v>17</v>
      </c>
      <c r="F5" s="3" t="s">
        <v>1938</v>
      </c>
      <c r="G5" s="4" t="s">
        <v>1939</v>
      </c>
      <c r="H5" s="6" t="s">
        <v>1940</v>
      </c>
      <c r="I5" s="4" t="s">
        <v>1941</v>
      </c>
      <c r="J5" s="7" t="s">
        <v>22</v>
      </c>
      <c r="K5" s="4" t="s">
        <v>647</v>
      </c>
      <c r="L5" s="4" t="s">
        <v>24</v>
      </c>
    </row>
    <row r="6" spans="1:12" ht="43.2" customHeight="1" x14ac:dyDescent="0.3">
      <c r="A6" s="3" t="s">
        <v>1942</v>
      </c>
      <c r="B6" s="4" t="s">
        <v>1943</v>
      </c>
      <c r="C6" s="4" t="s">
        <v>1944</v>
      </c>
      <c r="D6" s="5">
        <v>2025</v>
      </c>
      <c r="E6" s="3" t="s">
        <v>17</v>
      </c>
      <c r="F6" s="3" t="s">
        <v>1938</v>
      </c>
      <c r="G6" s="4" t="s">
        <v>1945</v>
      </c>
      <c r="H6" s="6" t="s">
        <v>1946</v>
      </c>
      <c r="I6" s="4" t="s">
        <v>1947</v>
      </c>
      <c r="J6" s="8" t="s">
        <v>50</v>
      </c>
      <c r="K6" s="4" t="s">
        <v>37</v>
      </c>
      <c r="L6" s="4" t="s">
        <v>52</v>
      </c>
    </row>
    <row r="7" spans="1:12" ht="43.2" customHeight="1" x14ac:dyDescent="0.3">
      <c r="A7" s="3" t="s">
        <v>1948</v>
      </c>
      <c r="B7" s="4" t="s">
        <v>1949</v>
      </c>
      <c r="C7" s="4" t="s">
        <v>1950</v>
      </c>
      <c r="D7" s="5">
        <v>2026</v>
      </c>
      <c r="E7" s="3" t="s">
        <v>17</v>
      </c>
      <c r="F7" s="3" t="s">
        <v>1938</v>
      </c>
      <c r="G7" s="4" t="s">
        <v>1951</v>
      </c>
      <c r="H7" s="6" t="s">
        <v>1952</v>
      </c>
      <c r="I7" s="4" t="s">
        <v>1953</v>
      </c>
      <c r="J7" s="7" t="s">
        <v>22</v>
      </c>
      <c r="K7" s="4" t="s">
        <v>1954</v>
      </c>
      <c r="L7" s="4" t="s">
        <v>24</v>
      </c>
    </row>
    <row r="8" spans="1:12" ht="43.2" customHeight="1" x14ac:dyDescent="0.3">
      <c r="A8" s="3" t="s">
        <v>1955</v>
      </c>
      <c r="B8" s="4" t="s">
        <v>1956</v>
      </c>
      <c r="C8" s="4" t="s">
        <v>1957</v>
      </c>
      <c r="D8" s="5">
        <v>2026</v>
      </c>
      <c r="E8" s="3" t="s">
        <v>17</v>
      </c>
      <c r="F8" s="3" t="s">
        <v>1938</v>
      </c>
      <c r="G8" s="4" t="s">
        <v>1958</v>
      </c>
      <c r="H8" s="6" t="s">
        <v>1959</v>
      </c>
      <c r="I8" s="4" t="s">
        <v>1960</v>
      </c>
      <c r="J8" s="7" t="s">
        <v>22</v>
      </c>
      <c r="K8" s="4" t="s">
        <v>120</v>
      </c>
      <c r="L8" s="4" t="s">
        <v>24</v>
      </c>
    </row>
    <row r="9" spans="1:12" ht="43.2" customHeight="1" x14ac:dyDescent="0.3">
      <c r="A9" s="3" t="s">
        <v>1961</v>
      </c>
      <c r="B9" s="4" t="s">
        <v>143</v>
      </c>
      <c r="C9" s="4" t="s">
        <v>144</v>
      </c>
      <c r="D9" s="5">
        <v>2026</v>
      </c>
      <c r="E9" s="3" t="s">
        <v>17</v>
      </c>
      <c r="F9" s="3" t="s">
        <v>1938</v>
      </c>
      <c r="G9" s="4" t="s">
        <v>145</v>
      </c>
      <c r="H9" s="6" t="s">
        <v>146</v>
      </c>
      <c r="I9" s="4" t="s">
        <v>147</v>
      </c>
      <c r="J9" s="7" t="s">
        <v>22</v>
      </c>
      <c r="K9" s="4" t="s">
        <v>23</v>
      </c>
      <c r="L9" s="4" t="s">
        <v>73</v>
      </c>
    </row>
    <row r="10" spans="1:12" ht="43.2" customHeight="1" x14ac:dyDescent="0.3">
      <c r="A10" s="3" t="s">
        <v>1962</v>
      </c>
      <c r="B10" s="4" t="s">
        <v>1963</v>
      </c>
      <c r="C10" s="4" t="s">
        <v>1964</v>
      </c>
      <c r="D10" s="5">
        <v>2025</v>
      </c>
      <c r="E10" s="3" t="s">
        <v>17</v>
      </c>
      <c r="F10" s="3" t="s">
        <v>1938</v>
      </c>
      <c r="G10" s="4" t="s">
        <v>1965</v>
      </c>
      <c r="H10" s="6" t="s">
        <v>1966</v>
      </c>
      <c r="I10" s="4" t="s">
        <v>1967</v>
      </c>
      <c r="J10" s="7" t="s">
        <v>22</v>
      </c>
      <c r="K10" s="4" t="s">
        <v>37</v>
      </c>
      <c r="L10" s="4" t="s">
        <v>73</v>
      </c>
    </row>
    <row r="11" spans="1:12" ht="43.2" customHeight="1" x14ac:dyDescent="0.3">
      <c r="A11" s="3" t="s">
        <v>1968</v>
      </c>
      <c r="B11" s="4" t="s">
        <v>1969</v>
      </c>
      <c r="C11" s="4" t="s">
        <v>1970</v>
      </c>
      <c r="D11" s="5">
        <v>2025</v>
      </c>
      <c r="E11" s="3" t="s">
        <v>17</v>
      </c>
      <c r="F11" s="3" t="s">
        <v>1938</v>
      </c>
      <c r="G11" s="4" t="s">
        <v>1971</v>
      </c>
      <c r="H11" s="6" t="s">
        <v>1972</v>
      </c>
      <c r="I11" s="4" t="s">
        <v>1973</v>
      </c>
      <c r="J11" s="7" t="s">
        <v>22</v>
      </c>
      <c r="K11" s="4" t="s">
        <v>66</v>
      </c>
      <c r="L11" s="4" t="s">
        <v>24</v>
      </c>
    </row>
    <row r="12" spans="1:12" ht="43.2" customHeight="1" x14ac:dyDescent="0.3">
      <c r="A12" s="3" t="s">
        <v>1974</v>
      </c>
      <c r="B12" s="4" t="s">
        <v>1975</v>
      </c>
      <c r="C12" s="4" t="s">
        <v>1976</v>
      </c>
      <c r="D12" s="5">
        <v>2025</v>
      </c>
      <c r="E12" s="3" t="s">
        <v>17</v>
      </c>
      <c r="F12" s="3" t="s">
        <v>1938</v>
      </c>
      <c r="G12" s="4" t="s">
        <v>207</v>
      </c>
      <c r="H12" s="6" t="s">
        <v>1977</v>
      </c>
      <c r="I12" s="4" t="s">
        <v>1978</v>
      </c>
      <c r="J12" s="7" t="s">
        <v>22</v>
      </c>
      <c r="K12" s="4" t="s">
        <v>66</v>
      </c>
      <c r="L12" s="4" t="s">
        <v>24</v>
      </c>
    </row>
    <row r="13" spans="1:12" ht="43.2" customHeight="1" x14ac:dyDescent="0.3">
      <c r="A13" s="3" t="s">
        <v>1979</v>
      </c>
      <c r="B13" s="4" t="s">
        <v>520</v>
      </c>
      <c r="C13" s="4" t="s">
        <v>521</v>
      </c>
      <c r="D13" s="5">
        <v>2025</v>
      </c>
      <c r="E13" s="3" t="s">
        <v>17</v>
      </c>
      <c r="F13" s="3" t="s">
        <v>1938</v>
      </c>
      <c r="G13" s="4" t="s">
        <v>522</v>
      </c>
      <c r="H13" s="6" t="s">
        <v>523</v>
      </c>
      <c r="I13" s="4" t="s">
        <v>524</v>
      </c>
      <c r="J13" s="7" t="s">
        <v>22</v>
      </c>
      <c r="K13" s="4" t="s">
        <v>37</v>
      </c>
      <c r="L13" s="4" t="s">
        <v>73</v>
      </c>
    </row>
    <row r="14" spans="1:12" ht="43.2" customHeight="1" x14ac:dyDescent="0.3">
      <c r="A14" s="3" t="s">
        <v>1980</v>
      </c>
      <c r="B14" s="4" t="s">
        <v>1981</v>
      </c>
      <c r="C14" s="4" t="s">
        <v>1982</v>
      </c>
      <c r="D14" s="5">
        <v>2025</v>
      </c>
      <c r="E14" s="3" t="s">
        <v>17</v>
      </c>
      <c r="F14" s="3" t="s">
        <v>1938</v>
      </c>
      <c r="G14" s="4" t="s">
        <v>1983</v>
      </c>
      <c r="H14" s="6" t="s">
        <v>1984</v>
      </c>
      <c r="I14" s="4" t="s">
        <v>1985</v>
      </c>
      <c r="J14" s="8" t="s">
        <v>50</v>
      </c>
      <c r="K14" s="4" t="s">
        <v>286</v>
      </c>
      <c r="L14" s="4" t="s">
        <v>52</v>
      </c>
    </row>
    <row r="15" spans="1:12" ht="43.2" customHeight="1" x14ac:dyDescent="0.3">
      <c r="A15" s="3" t="s">
        <v>1986</v>
      </c>
      <c r="B15" s="4" t="s">
        <v>1987</v>
      </c>
      <c r="C15" s="4" t="s">
        <v>1988</v>
      </c>
      <c r="D15" s="5">
        <v>2025</v>
      </c>
      <c r="E15" s="3" t="s">
        <v>17</v>
      </c>
      <c r="F15" s="3" t="s">
        <v>1938</v>
      </c>
      <c r="G15" s="4" t="s">
        <v>1989</v>
      </c>
      <c r="H15" s="6" t="s">
        <v>1990</v>
      </c>
      <c r="I15" s="4" t="s">
        <v>1991</v>
      </c>
      <c r="J15" s="7" t="s">
        <v>22</v>
      </c>
      <c r="K15" s="4" t="s">
        <v>1992</v>
      </c>
      <c r="L15" s="4" t="s">
        <v>24</v>
      </c>
    </row>
    <row r="16" spans="1:12" ht="43.2" customHeight="1" x14ac:dyDescent="0.3">
      <c r="A16" s="3" t="s">
        <v>1993</v>
      </c>
      <c r="B16" s="4" t="s">
        <v>1690</v>
      </c>
      <c r="C16" s="4" t="s">
        <v>1994</v>
      </c>
      <c r="D16" s="5">
        <v>2025</v>
      </c>
      <c r="E16" s="3" t="s">
        <v>17</v>
      </c>
      <c r="F16" s="3" t="s">
        <v>1938</v>
      </c>
      <c r="G16" s="4" t="s">
        <v>1692</v>
      </c>
      <c r="H16" s="6" t="s">
        <v>1995</v>
      </c>
      <c r="I16" s="4" t="s">
        <v>1694</v>
      </c>
      <c r="J16" s="7" t="s">
        <v>22</v>
      </c>
      <c r="K16" s="4" t="s">
        <v>80</v>
      </c>
      <c r="L16" s="4" t="s">
        <v>73</v>
      </c>
    </row>
    <row r="17" spans="1:12" ht="43.2" customHeight="1" x14ac:dyDescent="0.3">
      <c r="A17" s="3" t="s">
        <v>1996</v>
      </c>
      <c r="B17" s="4" t="s">
        <v>281</v>
      </c>
      <c r="C17" s="4" t="s">
        <v>282</v>
      </c>
      <c r="D17" s="5">
        <v>2024</v>
      </c>
      <c r="E17" s="3" t="s">
        <v>17</v>
      </c>
      <c r="F17" s="3" t="s">
        <v>1938</v>
      </c>
      <c r="G17" s="4" t="s">
        <v>283</v>
      </c>
      <c r="H17" s="6" t="s">
        <v>284</v>
      </c>
      <c r="I17" s="4" t="s">
        <v>285</v>
      </c>
      <c r="J17" s="7" t="s">
        <v>22</v>
      </c>
      <c r="K17" s="4" t="s">
        <v>286</v>
      </c>
      <c r="L17" s="4" t="s">
        <v>73</v>
      </c>
    </row>
    <row r="18" spans="1:12" ht="43.2" customHeight="1" x14ac:dyDescent="0.3">
      <c r="A18" s="3" t="s">
        <v>1997</v>
      </c>
      <c r="B18" s="4" t="s">
        <v>1998</v>
      </c>
      <c r="C18" s="4" t="s">
        <v>1999</v>
      </c>
      <c r="D18" s="5">
        <v>2025</v>
      </c>
      <c r="E18" s="3" t="s">
        <v>17</v>
      </c>
      <c r="F18" s="3" t="s">
        <v>1938</v>
      </c>
      <c r="G18" s="4" t="s">
        <v>2000</v>
      </c>
      <c r="H18" s="6" t="s">
        <v>2001</v>
      </c>
      <c r="I18" s="4" t="s">
        <v>2002</v>
      </c>
      <c r="J18" s="7" t="s">
        <v>22</v>
      </c>
      <c r="K18" s="4" t="s">
        <v>37</v>
      </c>
      <c r="L18" s="4" t="s">
        <v>73</v>
      </c>
    </row>
    <row r="19" spans="1:12" ht="43.2" customHeight="1" x14ac:dyDescent="0.3">
      <c r="A19" s="3" t="s">
        <v>2003</v>
      </c>
      <c r="B19" s="4" t="s">
        <v>422</v>
      </c>
      <c r="C19" s="4" t="s">
        <v>423</v>
      </c>
      <c r="D19" s="5">
        <v>2025</v>
      </c>
      <c r="E19" s="3" t="s">
        <v>17</v>
      </c>
      <c r="F19" s="3" t="s">
        <v>1938</v>
      </c>
      <c r="G19" s="4" t="s">
        <v>424</v>
      </c>
      <c r="H19" s="6" t="s">
        <v>425</v>
      </c>
      <c r="I19" s="4" t="s">
        <v>426</v>
      </c>
      <c r="J19" s="7" t="s">
        <v>22</v>
      </c>
      <c r="K19" s="4" t="s">
        <v>353</v>
      </c>
      <c r="L19" s="4" t="s">
        <v>73</v>
      </c>
    </row>
    <row r="20" spans="1:12" ht="43.2" customHeight="1" x14ac:dyDescent="0.3">
      <c r="A20" s="3" t="s">
        <v>2004</v>
      </c>
      <c r="B20" s="4" t="s">
        <v>465</v>
      </c>
      <c r="C20" s="4" t="s">
        <v>466</v>
      </c>
      <c r="D20" s="5">
        <v>2026</v>
      </c>
      <c r="E20" s="3" t="s">
        <v>17</v>
      </c>
      <c r="F20" s="3" t="s">
        <v>1938</v>
      </c>
      <c r="G20" s="4" t="s">
        <v>467</v>
      </c>
      <c r="H20" s="6" t="s">
        <v>468</v>
      </c>
      <c r="I20" s="4" t="s">
        <v>469</v>
      </c>
      <c r="J20" s="7" t="s">
        <v>22</v>
      </c>
      <c r="K20" s="4" t="s">
        <v>470</v>
      </c>
      <c r="L20" s="4" t="s">
        <v>73</v>
      </c>
    </row>
    <row r="21" spans="1:12" ht="43.2" customHeight="1" x14ac:dyDescent="0.3">
      <c r="A21" s="3" t="s">
        <v>2005</v>
      </c>
      <c r="B21" s="4" t="s">
        <v>2006</v>
      </c>
      <c r="C21" s="4" t="s">
        <v>2007</v>
      </c>
      <c r="D21" s="5">
        <v>2025</v>
      </c>
      <c r="E21" s="3" t="s">
        <v>17</v>
      </c>
      <c r="F21" s="3" t="s">
        <v>1938</v>
      </c>
      <c r="G21" s="4" t="s">
        <v>2008</v>
      </c>
      <c r="H21" s="6" t="s">
        <v>2009</v>
      </c>
      <c r="I21" s="4" t="s">
        <v>2010</v>
      </c>
      <c r="J21" s="7" t="s">
        <v>22</v>
      </c>
      <c r="K21" s="4" t="s">
        <v>37</v>
      </c>
      <c r="L21" s="4" t="s">
        <v>24</v>
      </c>
    </row>
  </sheetData>
  <mergeCells count="2">
    <mergeCell ref="A2:L2"/>
    <mergeCell ref="A1:L1"/>
  </mergeCells>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9"/>
  <sheetViews>
    <sheetView workbookViewId="0">
      <selection sqref="A1:L1"/>
    </sheetView>
  </sheetViews>
  <sheetFormatPr defaultRowHeight="14.4" x14ac:dyDescent="0.3"/>
  <cols>
    <col min="1" max="1" width="15" customWidth="1"/>
    <col min="2" max="2" width="46" customWidth="1"/>
    <col min="3" max="3" width="34" customWidth="1"/>
    <col min="4" max="4" width="11" customWidth="1"/>
    <col min="5" max="5" width="18" customWidth="1"/>
    <col min="6" max="6" width="16" customWidth="1"/>
    <col min="7" max="7" width="24" customWidth="1"/>
    <col min="8" max="8" width="30" customWidth="1"/>
    <col min="9" max="9" width="80" customWidth="1"/>
    <col min="10" max="10" width="18" customWidth="1"/>
    <col min="11" max="11" width="26" customWidth="1"/>
    <col min="12" max="12" width="34" customWidth="1"/>
  </cols>
  <sheetData>
    <row r="1" spans="1:12" ht="19.2" customHeight="1" x14ac:dyDescent="0.3">
      <c r="A1" s="31" t="s">
        <v>2011</v>
      </c>
      <c r="B1" s="30"/>
      <c r="C1" s="30"/>
      <c r="D1" s="30"/>
      <c r="E1" s="30"/>
      <c r="F1" s="30"/>
      <c r="G1" s="30"/>
      <c r="H1" s="30"/>
      <c r="I1" s="30"/>
      <c r="J1" s="30"/>
      <c r="K1" s="30"/>
      <c r="L1" s="30"/>
    </row>
    <row r="2" spans="1:12" ht="28.8" customHeight="1" x14ac:dyDescent="0.3">
      <c r="A2" s="29" t="s">
        <v>2012</v>
      </c>
      <c r="B2" s="30"/>
      <c r="C2" s="30"/>
      <c r="D2" s="30"/>
      <c r="E2" s="30"/>
      <c r="F2" s="30"/>
      <c r="G2" s="30"/>
      <c r="H2" s="30"/>
      <c r="I2" s="30"/>
      <c r="J2" s="30"/>
      <c r="K2" s="30"/>
      <c r="L2" s="30"/>
    </row>
    <row r="4" spans="1:12" ht="28.8" x14ac:dyDescent="0.3">
      <c r="A4" s="2" t="s">
        <v>2</v>
      </c>
      <c r="B4" s="2" t="s">
        <v>3</v>
      </c>
      <c r="C4" s="2" t="s">
        <v>4</v>
      </c>
      <c r="D4" s="2" t="s">
        <v>5</v>
      </c>
      <c r="E4" s="2" t="s">
        <v>6</v>
      </c>
      <c r="F4" s="2" t="s">
        <v>7</v>
      </c>
      <c r="G4" s="2" t="s">
        <v>8</v>
      </c>
      <c r="H4" s="2" t="s">
        <v>9</v>
      </c>
      <c r="I4" s="2" t="s">
        <v>10</v>
      </c>
      <c r="J4" s="2" t="s">
        <v>11</v>
      </c>
      <c r="K4" s="2" t="s">
        <v>12</v>
      </c>
      <c r="L4" s="2" t="s">
        <v>13</v>
      </c>
    </row>
    <row r="5" spans="1:12" ht="43.2" customHeight="1" x14ac:dyDescent="0.3">
      <c r="A5" s="3" t="s">
        <v>2013</v>
      </c>
      <c r="B5" s="4" t="s">
        <v>826</v>
      </c>
      <c r="C5" s="4" t="s">
        <v>827</v>
      </c>
      <c r="D5" s="5">
        <v>2025</v>
      </c>
      <c r="E5" s="3" t="s">
        <v>773</v>
      </c>
      <c r="F5" s="3" t="s">
        <v>1938</v>
      </c>
      <c r="G5" s="4" t="s">
        <v>828</v>
      </c>
      <c r="H5" s="6" t="s">
        <v>829</v>
      </c>
      <c r="I5" s="4" t="s">
        <v>830</v>
      </c>
      <c r="J5" s="8" t="s">
        <v>50</v>
      </c>
      <c r="K5" s="4" t="s">
        <v>660</v>
      </c>
      <c r="L5" s="4" t="s">
        <v>81</v>
      </c>
    </row>
    <row r="6" spans="1:12" ht="43.2" customHeight="1" x14ac:dyDescent="0.3">
      <c r="A6" s="3" t="s">
        <v>2014</v>
      </c>
      <c r="B6" s="4" t="s">
        <v>771</v>
      </c>
      <c r="C6" s="4" t="s">
        <v>772</v>
      </c>
      <c r="D6" s="5">
        <v>2026</v>
      </c>
      <c r="E6" s="3" t="s">
        <v>773</v>
      </c>
      <c r="F6" s="3" t="s">
        <v>1938</v>
      </c>
      <c r="G6" s="4" t="s">
        <v>774</v>
      </c>
      <c r="H6" s="6" t="s">
        <v>775</v>
      </c>
      <c r="I6" s="4" t="s">
        <v>776</v>
      </c>
      <c r="J6" s="8" t="s">
        <v>50</v>
      </c>
      <c r="K6" s="4" t="s">
        <v>660</v>
      </c>
      <c r="L6" s="4" t="s">
        <v>81</v>
      </c>
    </row>
    <row r="7" spans="1:12" ht="43.2" customHeight="1" x14ac:dyDescent="0.3">
      <c r="A7" s="3" t="s">
        <v>2015</v>
      </c>
      <c r="B7" s="4" t="s">
        <v>778</v>
      </c>
      <c r="C7" s="4" t="s">
        <v>779</v>
      </c>
      <c r="D7" s="5">
        <v>2025</v>
      </c>
      <c r="E7" s="3" t="s">
        <v>773</v>
      </c>
      <c r="F7" s="3" t="s">
        <v>1938</v>
      </c>
      <c r="G7" s="4" t="s">
        <v>780</v>
      </c>
      <c r="H7" s="6" t="s">
        <v>781</v>
      </c>
      <c r="I7" s="4" t="s">
        <v>782</v>
      </c>
      <c r="J7" s="8" t="s">
        <v>50</v>
      </c>
      <c r="K7" s="4" t="s">
        <v>660</v>
      </c>
      <c r="L7" s="4" t="s">
        <v>81</v>
      </c>
    </row>
    <row r="8" spans="1:12" ht="43.2" customHeight="1" x14ac:dyDescent="0.3">
      <c r="A8" s="3" t="s">
        <v>2016</v>
      </c>
      <c r="B8" s="4" t="s">
        <v>784</v>
      </c>
      <c r="C8" s="4" t="s">
        <v>785</v>
      </c>
      <c r="D8" s="5">
        <v>2026</v>
      </c>
      <c r="E8" s="3" t="s">
        <v>773</v>
      </c>
      <c r="F8" s="3" t="s">
        <v>1938</v>
      </c>
      <c r="G8" s="4" t="s">
        <v>786</v>
      </c>
      <c r="H8" s="6" t="s">
        <v>787</v>
      </c>
      <c r="I8" s="4" t="s">
        <v>788</v>
      </c>
      <c r="J8" s="8" t="s">
        <v>50</v>
      </c>
      <c r="K8" s="4" t="s">
        <v>660</v>
      </c>
      <c r="L8" s="4" t="s">
        <v>81</v>
      </c>
    </row>
    <row r="9" spans="1:12" ht="43.2" customHeight="1" x14ac:dyDescent="0.3">
      <c r="A9" s="3" t="s">
        <v>2017</v>
      </c>
      <c r="B9" s="4" t="s">
        <v>790</v>
      </c>
      <c r="C9" s="4" t="s">
        <v>791</v>
      </c>
      <c r="D9" s="5">
        <v>2025</v>
      </c>
      <c r="E9" s="3" t="s">
        <v>773</v>
      </c>
      <c r="F9" s="3" t="s">
        <v>1938</v>
      </c>
      <c r="G9" s="4" t="s">
        <v>792</v>
      </c>
      <c r="H9" s="6" t="s">
        <v>793</v>
      </c>
      <c r="I9" s="4" t="s">
        <v>794</v>
      </c>
      <c r="J9" s="8" t="s">
        <v>50</v>
      </c>
      <c r="K9" s="4" t="s">
        <v>451</v>
      </c>
      <c r="L9" s="4" t="s">
        <v>81</v>
      </c>
    </row>
    <row r="10" spans="1:12" ht="43.2" customHeight="1" x14ac:dyDescent="0.3">
      <c r="A10" s="3" t="s">
        <v>2018</v>
      </c>
      <c r="B10" s="4" t="s">
        <v>796</v>
      </c>
      <c r="C10" s="4" t="s">
        <v>797</v>
      </c>
      <c r="D10" s="5">
        <v>2025</v>
      </c>
      <c r="E10" s="3" t="s">
        <v>773</v>
      </c>
      <c r="F10" s="3" t="s">
        <v>1938</v>
      </c>
      <c r="G10" s="4" t="s">
        <v>798</v>
      </c>
      <c r="H10" s="6" t="s">
        <v>799</v>
      </c>
      <c r="I10" s="4" t="s">
        <v>800</v>
      </c>
      <c r="J10" s="8" t="s">
        <v>50</v>
      </c>
      <c r="K10" s="4" t="s">
        <v>37</v>
      </c>
      <c r="L10" s="4" t="s">
        <v>81</v>
      </c>
    </row>
    <row r="11" spans="1:12" ht="43.2" customHeight="1" x14ac:dyDescent="0.3">
      <c r="A11" s="3" t="s">
        <v>2019</v>
      </c>
      <c r="B11" s="4" t="s">
        <v>850</v>
      </c>
      <c r="C11" s="4" t="s">
        <v>851</v>
      </c>
      <c r="D11" s="5">
        <v>2025</v>
      </c>
      <c r="E11" s="3" t="s">
        <v>773</v>
      </c>
      <c r="F11" s="3" t="s">
        <v>1938</v>
      </c>
      <c r="G11" s="4" t="s">
        <v>852</v>
      </c>
      <c r="H11" s="6" t="s">
        <v>853</v>
      </c>
      <c r="I11" s="4" t="s">
        <v>854</v>
      </c>
      <c r="J11" s="8" t="s">
        <v>50</v>
      </c>
      <c r="K11" s="4" t="s">
        <v>660</v>
      </c>
      <c r="L11" s="4" t="s">
        <v>81</v>
      </c>
    </row>
    <row r="12" spans="1:12" ht="43.2" customHeight="1" x14ac:dyDescent="0.3">
      <c r="A12" s="3" t="s">
        <v>2020</v>
      </c>
      <c r="B12" s="4" t="s">
        <v>856</v>
      </c>
      <c r="C12" s="4" t="s">
        <v>857</v>
      </c>
      <c r="D12" s="5">
        <v>2025</v>
      </c>
      <c r="E12" s="3" t="s">
        <v>773</v>
      </c>
      <c r="F12" s="3" t="s">
        <v>1938</v>
      </c>
      <c r="G12" s="4" t="s">
        <v>858</v>
      </c>
      <c r="H12" s="6" t="s">
        <v>859</v>
      </c>
      <c r="I12" s="4" t="s">
        <v>860</v>
      </c>
      <c r="J12" s="7" t="s">
        <v>22</v>
      </c>
      <c r="K12" s="4" t="s">
        <v>660</v>
      </c>
      <c r="L12" s="4" t="s">
        <v>73</v>
      </c>
    </row>
    <row r="13" spans="1:12" ht="43.2" customHeight="1" x14ac:dyDescent="0.3">
      <c r="A13" s="3" t="s">
        <v>2021</v>
      </c>
      <c r="B13" s="4" t="s">
        <v>820</v>
      </c>
      <c r="C13" s="4" t="s">
        <v>821</v>
      </c>
      <c r="D13" s="5">
        <v>2025</v>
      </c>
      <c r="E13" s="3" t="s">
        <v>773</v>
      </c>
      <c r="F13" s="3" t="s">
        <v>1938</v>
      </c>
      <c r="G13" s="4" t="s">
        <v>822</v>
      </c>
      <c r="H13" s="6" t="s">
        <v>823</v>
      </c>
      <c r="I13" s="4" t="s">
        <v>824</v>
      </c>
      <c r="J13" s="7" t="s">
        <v>22</v>
      </c>
      <c r="K13" s="4" t="s">
        <v>37</v>
      </c>
      <c r="L13" s="4" t="s">
        <v>73</v>
      </c>
    </row>
    <row r="14" spans="1:12" ht="43.2" customHeight="1" x14ac:dyDescent="0.3">
      <c r="A14" s="3" t="s">
        <v>2022</v>
      </c>
      <c r="B14" s="4" t="s">
        <v>844</v>
      </c>
      <c r="C14" s="4" t="s">
        <v>845</v>
      </c>
      <c r="D14" s="5">
        <v>2025</v>
      </c>
      <c r="E14" s="3" t="s">
        <v>773</v>
      </c>
      <c r="F14" s="3" t="s">
        <v>1938</v>
      </c>
      <c r="G14" s="4" t="s">
        <v>846</v>
      </c>
      <c r="H14" s="6" t="s">
        <v>847</v>
      </c>
      <c r="I14" s="4" t="s">
        <v>848</v>
      </c>
      <c r="J14" s="8" t="s">
        <v>50</v>
      </c>
      <c r="K14" s="4" t="s">
        <v>127</v>
      </c>
      <c r="L14" s="4" t="s">
        <v>81</v>
      </c>
    </row>
    <row r="15" spans="1:12" ht="43.2" customHeight="1" x14ac:dyDescent="0.3">
      <c r="A15" s="3" t="s">
        <v>2023</v>
      </c>
      <c r="B15" s="4" t="s">
        <v>808</v>
      </c>
      <c r="C15" s="4" t="s">
        <v>809</v>
      </c>
      <c r="D15" s="5">
        <v>2025</v>
      </c>
      <c r="E15" s="3" t="s">
        <v>773</v>
      </c>
      <c r="F15" s="3" t="s">
        <v>1938</v>
      </c>
      <c r="G15" s="4" t="s">
        <v>810</v>
      </c>
      <c r="H15" s="6" t="s">
        <v>811</v>
      </c>
      <c r="I15" s="4" t="s">
        <v>812</v>
      </c>
      <c r="J15" s="8" t="s">
        <v>50</v>
      </c>
      <c r="K15" s="4" t="s">
        <v>66</v>
      </c>
      <c r="L15" s="4" t="s">
        <v>81</v>
      </c>
    </row>
    <row r="16" spans="1:12" ht="43.2" customHeight="1" x14ac:dyDescent="0.3">
      <c r="A16" s="3" t="s">
        <v>2024</v>
      </c>
      <c r="B16" s="4" t="s">
        <v>814</v>
      </c>
      <c r="C16" s="4" t="s">
        <v>815</v>
      </c>
      <c r="D16" s="5">
        <v>2025</v>
      </c>
      <c r="E16" s="3" t="s">
        <v>773</v>
      </c>
      <c r="F16" s="3" t="s">
        <v>1938</v>
      </c>
      <c r="G16" s="4" t="s">
        <v>816</v>
      </c>
      <c r="H16" s="6" t="s">
        <v>817</v>
      </c>
      <c r="I16" s="4" t="s">
        <v>818</v>
      </c>
      <c r="J16" s="8" t="s">
        <v>50</v>
      </c>
      <c r="K16" s="4" t="s">
        <v>127</v>
      </c>
      <c r="L16" s="4" t="s">
        <v>81</v>
      </c>
    </row>
    <row r="17" spans="1:12" ht="43.2" customHeight="1" x14ac:dyDescent="0.3">
      <c r="A17" s="3" t="s">
        <v>2025</v>
      </c>
      <c r="B17" s="4" t="s">
        <v>802</v>
      </c>
      <c r="C17" s="4" t="s">
        <v>803</v>
      </c>
      <c r="D17" s="5">
        <v>2025</v>
      </c>
      <c r="E17" s="3" t="s">
        <v>773</v>
      </c>
      <c r="F17" s="3" t="s">
        <v>1938</v>
      </c>
      <c r="G17" s="4" t="s">
        <v>804</v>
      </c>
      <c r="H17" s="6" t="s">
        <v>805</v>
      </c>
      <c r="I17" s="4" t="s">
        <v>806</v>
      </c>
      <c r="J17" s="8" t="s">
        <v>50</v>
      </c>
      <c r="K17" s="4" t="s">
        <v>37</v>
      </c>
      <c r="L17" s="4" t="s">
        <v>81</v>
      </c>
    </row>
    <row r="18" spans="1:12" ht="43.2" customHeight="1" x14ac:dyDescent="0.3">
      <c r="A18" s="3" t="s">
        <v>2026</v>
      </c>
      <c r="B18" s="4" t="s">
        <v>832</v>
      </c>
      <c r="C18" s="4" t="s">
        <v>833</v>
      </c>
      <c r="D18" s="5">
        <v>2025</v>
      </c>
      <c r="E18" s="3" t="s">
        <v>773</v>
      </c>
      <c r="F18" s="3" t="s">
        <v>1938</v>
      </c>
      <c r="G18" s="4" t="s">
        <v>834</v>
      </c>
      <c r="H18" s="6" t="s">
        <v>835</v>
      </c>
      <c r="I18" s="4" t="s">
        <v>836</v>
      </c>
      <c r="J18" s="8" t="s">
        <v>50</v>
      </c>
      <c r="K18" s="4" t="s">
        <v>210</v>
      </c>
      <c r="L18" s="4" t="s">
        <v>81</v>
      </c>
    </row>
    <row r="19" spans="1:12" ht="43.2" customHeight="1" x14ac:dyDescent="0.3">
      <c r="A19" s="3" t="s">
        <v>2027</v>
      </c>
      <c r="B19" s="4" t="s">
        <v>874</v>
      </c>
      <c r="C19" s="4" t="s">
        <v>875</v>
      </c>
      <c r="D19" s="5">
        <v>2024</v>
      </c>
      <c r="E19" s="3" t="s">
        <v>773</v>
      </c>
      <c r="F19" s="3" t="s">
        <v>1938</v>
      </c>
      <c r="G19" s="4" t="s">
        <v>876</v>
      </c>
      <c r="H19" s="6" t="s">
        <v>877</v>
      </c>
      <c r="I19" s="4" t="s">
        <v>878</v>
      </c>
      <c r="J19" s="8" t="s">
        <v>50</v>
      </c>
      <c r="K19" s="4" t="s">
        <v>127</v>
      </c>
      <c r="L19" s="4" t="s">
        <v>81</v>
      </c>
    </row>
    <row r="20" spans="1:12" ht="43.2" customHeight="1" x14ac:dyDescent="0.3">
      <c r="A20" s="3" t="s">
        <v>2028</v>
      </c>
      <c r="B20" s="4" t="s">
        <v>880</v>
      </c>
      <c r="C20" s="4" t="s">
        <v>881</v>
      </c>
      <c r="D20" s="5">
        <v>2025</v>
      </c>
      <c r="E20" s="3" t="s">
        <v>773</v>
      </c>
      <c r="F20" s="3" t="s">
        <v>1938</v>
      </c>
      <c r="G20" s="4" t="s">
        <v>882</v>
      </c>
      <c r="H20" s="6" t="s">
        <v>883</v>
      </c>
      <c r="I20" s="4" t="s">
        <v>884</v>
      </c>
      <c r="J20" s="8" t="s">
        <v>50</v>
      </c>
      <c r="K20" s="4" t="s">
        <v>885</v>
      </c>
      <c r="L20" s="4" t="s">
        <v>81</v>
      </c>
    </row>
    <row r="21" spans="1:12" ht="43.2" customHeight="1" x14ac:dyDescent="0.3">
      <c r="A21" s="3" t="s">
        <v>2029</v>
      </c>
      <c r="B21" s="4" t="s">
        <v>936</v>
      </c>
      <c r="C21" s="4" t="s">
        <v>937</v>
      </c>
      <c r="D21" s="5">
        <v>2025</v>
      </c>
      <c r="E21" s="3" t="s">
        <v>773</v>
      </c>
      <c r="F21" s="3" t="s">
        <v>1938</v>
      </c>
      <c r="G21" s="4" t="s">
        <v>938</v>
      </c>
      <c r="H21" s="6" t="s">
        <v>939</v>
      </c>
      <c r="I21" s="4" t="s">
        <v>940</v>
      </c>
      <c r="J21" s="8" t="s">
        <v>50</v>
      </c>
      <c r="K21" s="4" t="s">
        <v>127</v>
      </c>
      <c r="L21" s="4" t="s">
        <v>81</v>
      </c>
    </row>
    <row r="22" spans="1:12" ht="43.2" customHeight="1" x14ac:dyDescent="0.3">
      <c r="A22" s="3" t="s">
        <v>2030</v>
      </c>
      <c r="B22" s="4" t="s">
        <v>973</v>
      </c>
      <c r="C22" s="4" t="s">
        <v>974</v>
      </c>
      <c r="D22" s="5">
        <v>2026</v>
      </c>
      <c r="E22" s="3" t="s">
        <v>773</v>
      </c>
      <c r="F22" s="3" t="s">
        <v>1938</v>
      </c>
      <c r="G22" s="4" t="s">
        <v>975</v>
      </c>
      <c r="H22" s="6" t="s">
        <v>976</v>
      </c>
      <c r="I22" s="4" t="s">
        <v>977</v>
      </c>
      <c r="J22" s="8" t="s">
        <v>50</v>
      </c>
      <c r="K22" s="4" t="s">
        <v>978</v>
      </c>
      <c r="L22" s="4" t="s">
        <v>81</v>
      </c>
    </row>
    <row r="23" spans="1:12" ht="43.2" customHeight="1" x14ac:dyDescent="0.3">
      <c r="A23" s="3" t="s">
        <v>2031</v>
      </c>
      <c r="B23" s="4" t="s">
        <v>838</v>
      </c>
      <c r="C23" s="4" t="s">
        <v>839</v>
      </c>
      <c r="D23" s="5">
        <v>2026</v>
      </c>
      <c r="E23" s="3" t="s">
        <v>773</v>
      </c>
      <c r="F23" s="3" t="s">
        <v>1938</v>
      </c>
      <c r="G23" s="4" t="s">
        <v>840</v>
      </c>
      <c r="H23" s="6" t="s">
        <v>841</v>
      </c>
      <c r="I23" s="4" t="s">
        <v>842</v>
      </c>
      <c r="J23" s="8" t="s">
        <v>50</v>
      </c>
      <c r="K23" s="4" t="s">
        <v>127</v>
      </c>
      <c r="L23" s="4" t="s">
        <v>81</v>
      </c>
    </row>
    <row r="24" spans="1:12" ht="43.2" customHeight="1" x14ac:dyDescent="0.3">
      <c r="A24" s="3" t="s">
        <v>2032</v>
      </c>
      <c r="B24" s="4" t="s">
        <v>868</v>
      </c>
      <c r="C24" s="4" t="s">
        <v>869</v>
      </c>
      <c r="D24" s="5">
        <v>2025</v>
      </c>
      <c r="E24" s="3" t="s">
        <v>773</v>
      </c>
      <c r="F24" s="3" t="s">
        <v>1938</v>
      </c>
      <c r="G24" s="4" t="s">
        <v>870</v>
      </c>
      <c r="H24" s="6" t="s">
        <v>871</v>
      </c>
      <c r="I24" s="4" t="s">
        <v>872</v>
      </c>
      <c r="J24" s="8" t="s">
        <v>50</v>
      </c>
      <c r="K24" s="4" t="s">
        <v>127</v>
      </c>
      <c r="L24" s="4" t="s">
        <v>81</v>
      </c>
    </row>
    <row r="25" spans="1:12" ht="43.2" customHeight="1" x14ac:dyDescent="0.3">
      <c r="A25" s="3" t="s">
        <v>2033</v>
      </c>
      <c r="B25" s="4" t="s">
        <v>887</v>
      </c>
      <c r="C25" s="4" t="s">
        <v>888</v>
      </c>
      <c r="D25" s="5">
        <v>2025</v>
      </c>
      <c r="E25" s="3" t="s">
        <v>773</v>
      </c>
      <c r="F25" s="3" t="s">
        <v>1938</v>
      </c>
      <c r="G25" s="4" t="s">
        <v>889</v>
      </c>
      <c r="H25" s="6" t="s">
        <v>890</v>
      </c>
      <c r="I25" s="4" t="s">
        <v>891</v>
      </c>
      <c r="J25" s="8" t="s">
        <v>50</v>
      </c>
      <c r="K25" s="4" t="s">
        <v>451</v>
      </c>
      <c r="L25" s="4" t="s">
        <v>81</v>
      </c>
    </row>
    <row r="26" spans="1:12" ht="43.2" customHeight="1" x14ac:dyDescent="0.3">
      <c r="A26" s="3" t="s">
        <v>2034</v>
      </c>
      <c r="B26" s="4" t="s">
        <v>1070</v>
      </c>
      <c r="C26" s="4" t="s">
        <v>1071</v>
      </c>
      <c r="D26" s="5">
        <v>2025</v>
      </c>
      <c r="E26" s="3" t="s">
        <v>773</v>
      </c>
      <c r="F26" s="3" t="s">
        <v>1938</v>
      </c>
      <c r="G26" s="4" t="s">
        <v>1072</v>
      </c>
      <c r="H26" s="6" t="s">
        <v>1073</v>
      </c>
      <c r="I26" s="4" t="s">
        <v>1074</v>
      </c>
      <c r="J26" s="8" t="s">
        <v>50</v>
      </c>
      <c r="K26" s="4" t="s">
        <v>286</v>
      </c>
      <c r="L26" s="4" t="s">
        <v>81</v>
      </c>
    </row>
    <row r="27" spans="1:12" ht="43.2" customHeight="1" x14ac:dyDescent="0.3">
      <c r="A27" s="3" t="s">
        <v>2035</v>
      </c>
      <c r="B27" s="4" t="s">
        <v>961</v>
      </c>
      <c r="C27" s="4" t="s">
        <v>962</v>
      </c>
      <c r="D27" s="5">
        <v>2026</v>
      </c>
      <c r="E27" s="3" t="s">
        <v>773</v>
      </c>
      <c r="F27" s="3" t="s">
        <v>1938</v>
      </c>
      <c r="G27" s="4" t="s">
        <v>963</v>
      </c>
      <c r="H27" s="6" t="s">
        <v>964</v>
      </c>
      <c r="I27" s="4" t="s">
        <v>965</v>
      </c>
      <c r="J27" s="7" t="s">
        <v>22</v>
      </c>
      <c r="K27" s="4" t="s">
        <v>660</v>
      </c>
      <c r="L27" s="4" t="s">
        <v>73</v>
      </c>
    </row>
    <row r="28" spans="1:12" ht="43.2" customHeight="1" x14ac:dyDescent="0.3">
      <c r="A28" s="3" t="s">
        <v>2036</v>
      </c>
      <c r="B28" s="4" t="s">
        <v>1112</v>
      </c>
      <c r="C28" s="4" t="s">
        <v>1113</v>
      </c>
      <c r="D28" s="5">
        <v>2025</v>
      </c>
      <c r="E28" s="3" t="s">
        <v>773</v>
      </c>
      <c r="F28" s="3" t="s">
        <v>1938</v>
      </c>
      <c r="G28" s="4" t="s">
        <v>1114</v>
      </c>
      <c r="H28" s="6" t="s">
        <v>1115</v>
      </c>
      <c r="I28" s="4" t="s">
        <v>1116</v>
      </c>
      <c r="J28" s="8" t="s">
        <v>50</v>
      </c>
      <c r="K28" s="4" t="s">
        <v>127</v>
      </c>
      <c r="L28" s="4" t="s">
        <v>81</v>
      </c>
    </row>
    <row r="29" spans="1:12" ht="43.2" customHeight="1" x14ac:dyDescent="0.3">
      <c r="A29" s="3" t="s">
        <v>2037</v>
      </c>
      <c r="B29" s="4" t="s">
        <v>893</v>
      </c>
      <c r="C29" s="4" t="s">
        <v>894</v>
      </c>
      <c r="D29" s="5">
        <v>2025</v>
      </c>
      <c r="E29" s="3" t="s">
        <v>773</v>
      </c>
      <c r="F29" s="3" t="s">
        <v>1938</v>
      </c>
      <c r="G29" s="4" t="s">
        <v>895</v>
      </c>
      <c r="H29" s="6" t="s">
        <v>896</v>
      </c>
      <c r="I29" s="4" t="s">
        <v>897</v>
      </c>
      <c r="J29" s="7" t="s">
        <v>22</v>
      </c>
      <c r="K29" s="4" t="s">
        <v>898</v>
      </c>
      <c r="L29" s="4" t="s">
        <v>73</v>
      </c>
    </row>
    <row r="30" spans="1:12" ht="43.2" customHeight="1" x14ac:dyDescent="0.3">
      <c r="A30" s="3" t="s">
        <v>2038</v>
      </c>
      <c r="B30" s="4" t="s">
        <v>900</v>
      </c>
      <c r="C30" s="4" t="s">
        <v>901</v>
      </c>
      <c r="D30" s="5">
        <v>2025</v>
      </c>
      <c r="E30" s="3" t="s">
        <v>773</v>
      </c>
      <c r="F30" s="3" t="s">
        <v>1938</v>
      </c>
      <c r="G30" s="4" t="s">
        <v>902</v>
      </c>
      <c r="H30" s="6" t="s">
        <v>903</v>
      </c>
      <c r="I30" s="4" t="s">
        <v>904</v>
      </c>
      <c r="J30" s="7" t="s">
        <v>22</v>
      </c>
      <c r="K30" s="4" t="s">
        <v>161</v>
      </c>
      <c r="L30" s="4" t="s">
        <v>73</v>
      </c>
    </row>
    <row r="31" spans="1:12" ht="43.2" customHeight="1" x14ac:dyDescent="0.3">
      <c r="A31" s="3" t="s">
        <v>2039</v>
      </c>
      <c r="B31" s="4" t="s">
        <v>1172</v>
      </c>
      <c r="C31" s="4" t="s">
        <v>1173</v>
      </c>
      <c r="D31" s="5">
        <v>2025</v>
      </c>
      <c r="E31" s="3" t="s">
        <v>773</v>
      </c>
      <c r="F31" s="3" t="s">
        <v>1938</v>
      </c>
      <c r="G31" s="4" t="s">
        <v>1174</v>
      </c>
      <c r="H31" s="6" t="s">
        <v>1175</v>
      </c>
      <c r="I31" s="4" t="s">
        <v>1176</v>
      </c>
      <c r="J31" s="8" t="s">
        <v>50</v>
      </c>
      <c r="K31" s="4" t="s">
        <v>210</v>
      </c>
      <c r="L31" s="4" t="s">
        <v>81</v>
      </c>
    </row>
    <row r="32" spans="1:12" ht="43.2" customHeight="1" x14ac:dyDescent="0.3">
      <c r="A32" s="3" t="s">
        <v>2040</v>
      </c>
      <c r="B32" s="4" t="s">
        <v>918</v>
      </c>
      <c r="C32" s="4" t="s">
        <v>919</v>
      </c>
      <c r="D32" s="5">
        <v>2025</v>
      </c>
      <c r="E32" s="3" t="s">
        <v>773</v>
      </c>
      <c r="F32" s="3" t="s">
        <v>1938</v>
      </c>
      <c r="G32" s="4" t="s">
        <v>920</v>
      </c>
      <c r="H32" s="6" t="s">
        <v>921</v>
      </c>
      <c r="I32" s="4" t="s">
        <v>922</v>
      </c>
      <c r="J32" s="8" t="s">
        <v>50</v>
      </c>
      <c r="K32" s="4" t="s">
        <v>273</v>
      </c>
      <c r="L32" s="4" t="s">
        <v>81</v>
      </c>
    </row>
    <row r="33" spans="1:12" ht="43.2" customHeight="1" x14ac:dyDescent="0.3">
      <c r="A33" s="3" t="s">
        <v>2041</v>
      </c>
      <c r="B33" s="4" t="s">
        <v>1275</v>
      </c>
      <c r="C33" s="4" t="s">
        <v>1276</v>
      </c>
      <c r="D33" s="5">
        <v>2025</v>
      </c>
      <c r="E33" s="3" t="s">
        <v>773</v>
      </c>
      <c r="F33" s="3" t="s">
        <v>1938</v>
      </c>
      <c r="G33" s="4" t="s">
        <v>1277</v>
      </c>
      <c r="H33" s="6" t="s">
        <v>1278</v>
      </c>
      <c r="I33" s="4" t="s">
        <v>1279</v>
      </c>
      <c r="J33" s="8" t="s">
        <v>50</v>
      </c>
      <c r="K33" s="4" t="s">
        <v>660</v>
      </c>
      <c r="L33" s="4" t="s">
        <v>81</v>
      </c>
    </row>
    <row r="34" spans="1:12" ht="43.2" customHeight="1" x14ac:dyDescent="0.3">
      <c r="A34" s="3" t="s">
        <v>2042</v>
      </c>
      <c r="B34" s="4" t="s">
        <v>1299</v>
      </c>
      <c r="C34" s="4" t="s">
        <v>1300</v>
      </c>
      <c r="D34" s="5">
        <v>2024</v>
      </c>
      <c r="E34" s="3" t="s">
        <v>773</v>
      </c>
      <c r="F34" s="3" t="s">
        <v>1938</v>
      </c>
      <c r="G34" s="4" t="s">
        <v>1301</v>
      </c>
      <c r="H34" s="6" t="s">
        <v>1302</v>
      </c>
      <c r="I34" s="4" t="s">
        <v>1303</v>
      </c>
      <c r="J34" s="8" t="s">
        <v>50</v>
      </c>
      <c r="K34" s="4" t="s">
        <v>260</v>
      </c>
      <c r="L34" s="4" t="s">
        <v>81</v>
      </c>
    </row>
    <row r="35" spans="1:12" ht="43.2" customHeight="1" x14ac:dyDescent="0.3">
      <c r="A35" s="3" t="s">
        <v>2043</v>
      </c>
      <c r="B35" s="4" t="s">
        <v>942</v>
      </c>
      <c r="C35" s="4" t="s">
        <v>943</v>
      </c>
      <c r="D35" s="5">
        <v>2025</v>
      </c>
      <c r="E35" s="3" t="s">
        <v>773</v>
      </c>
      <c r="F35" s="3" t="s">
        <v>1938</v>
      </c>
      <c r="G35" s="4" t="s">
        <v>944</v>
      </c>
      <c r="H35" s="6" t="s">
        <v>945</v>
      </c>
      <c r="I35" s="4" t="s">
        <v>946</v>
      </c>
      <c r="J35" s="8" t="s">
        <v>50</v>
      </c>
      <c r="K35" s="4" t="s">
        <v>451</v>
      </c>
      <c r="L35" s="4" t="s">
        <v>81</v>
      </c>
    </row>
    <row r="36" spans="1:12" ht="43.2" customHeight="1" x14ac:dyDescent="0.3">
      <c r="A36" s="3" t="s">
        <v>2044</v>
      </c>
      <c r="B36" s="4" t="s">
        <v>1311</v>
      </c>
      <c r="C36" s="4" t="s">
        <v>1312</v>
      </c>
      <c r="D36" s="5">
        <v>2023</v>
      </c>
      <c r="E36" s="3" t="s">
        <v>773</v>
      </c>
      <c r="F36" s="3" t="s">
        <v>1938</v>
      </c>
      <c r="G36" s="4" t="s">
        <v>1313</v>
      </c>
      <c r="H36" s="6" t="s">
        <v>1314</v>
      </c>
      <c r="I36" s="4" t="s">
        <v>1315</v>
      </c>
      <c r="J36" s="8" t="s">
        <v>50</v>
      </c>
      <c r="K36" s="4" t="s">
        <v>451</v>
      </c>
      <c r="L36" s="4" t="s">
        <v>81</v>
      </c>
    </row>
    <row r="37" spans="1:12" ht="43.2" customHeight="1" x14ac:dyDescent="0.3">
      <c r="A37" s="3" t="s">
        <v>2045</v>
      </c>
      <c r="B37" s="4" t="s">
        <v>1214</v>
      </c>
      <c r="C37" s="4" t="s">
        <v>1215</v>
      </c>
      <c r="D37" s="5">
        <v>2025</v>
      </c>
      <c r="E37" s="3" t="s">
        <v>773</v>
      </c>
      <c r="F37" s="3" t="s">
        <v>1938</v>
      </c>
      <c r="G37" s="4" t="s">
        <v>1216</v>
      </c>
      <c r="H37" s="6" t="s">
        <v>1217</v>
      </c>
      <c r="I37" s="4" t="s">
        <v>1218</v>
      </c>
      <c r="J37" s="8" t="s">
        <v>50</v>
      </c>
      <c r="K37" s="4" t="s">
        <v>127</v>
      </c>
      <c r="L37" s="4" t="s">
        <v>81</v>
      </c>
    </row>
    <row r="38" spans="1:12" ht="43.2" customHeight="1" x14ac:dyDescent="0.3">
      <c r="A38" s="3" t="s">
        <v>2046</v>
      </c>
      <c r="B38" s="4" t="s">
        <v>1148</v>
      </c>
      <c r="C38" s="4" t="s">
        <v>1149</v>
      </c>
      <c r="D38" s="5">
        <v>2025</v>
      </c>
      <c r="E38" s="3" t="s">
        <v>773</v>
      </c>
      <c r="F38" s="3" t="s">
        <v>1938</v>
      </c>
      <c r="G38" s="4" t="s">
        <v>1150</v>
      </c>
      <c r="H38" s="6" t="s">
        <v>1151</v>
      </c>
      <c r="I38" s="4" t="s">
        <v>1152</v>
      </c>
      <c r="J38" s="8" t="s">
        <v>50</v>
      </c>
      <c r="K38" s="4" t="s">
        <v>134</v>
      </c>
      <c r="L38" s="4" t="s">
        <v>81</v>
      </c>
    </row>
    <row r="39" spans="1:12" ht="43.2" customHeight="1" x14ac:dyDescent="0.3">
      <c r="A39" s="3" t="s">
        <v>2047</v>
      </c>
      <c r="B39" s="4" t="s">
        <v>992</v>
      </c>
      <c r="C39" s="4" t="s">
        <v>993</v>
      </c>
      <c r="D39" s="5">
        <v>2025</v>
      </c>
      <c r="E39" s="3" t="s">
        <v>773</v>
      </c>
      <c r="F39" s="3" t="s">
        <v>1938</v>
      </c>
      <c r="G39" s="4" t="s">
        <v>994</v>
      </c>
      <c r="H39" s="6" t="s">
        <v>995</v>
      </c>
      <c r="I39" s="4" t="s">
        <v>996</v>
      </c>
      <c r="J39" s="8" t="s">
        <v>50</v>
      </c>
      <c r="K39" s="4" t="s">
        <v>134</v>
      </c>
      <c r="L39" s="4" t="s">
        <v>81</v>
      </c>
    </row>
    <row r="40" spans="1:12" ht="43.2" customHeight="1" x14ac:dyDescent="0.3">
      <c r="A40" s="3" t="s">
        <v>2048</v>
      </c>
      <c r="B40" s="4" t="s">
        <v>955</v>
      </c>
      <c r="C40" s="4" t="s">
        <v>956</v>
      </c>
      <c r="D40" s="5">
        <v>2025</v>
      </c>
      <c r="E40" s="3" t="s">
        <v>773</v>
      </c>
      <c r="F40" s="3" t="s">
        <v>1938</v>
      </c>
      <c r="G40" s="4" t="s">
        <v>957</v>
      </c>
      <c r="H40" s="6" t="s">
        <v>958</v>
      </c>
      <c r="I40" s="4" t="s">
        <v>959</v>
      </c>
      <c r="J40" s="7" t="s">
        <v>22</v>
      </c>
      <c r="K40" s="4" t="s">
        <v>37</v>
      </c>
      <c r="L40" s="4" t="s">
        <v>73</v>
      </c>
    </row>
    <row r="41" spans="1:12" ht="43.2" customHeight="1" x14ac:dyDescent="0.3">
      <c r="A41" s="3" t="s">
        <v>2049</v>
      </c>
      <c r="B41" s="4" t="s">
        <v>930</v>
      </c>
      <c r="C41" s="4" t="s">
        <v>931</v>
      </c>
      <c r="D41" s="5">
        <v>2025</v>
      </c>
      <c r="E41" s="3" t="s">
        <v>773</v>
      </c>
      <c r="F41" s="3" t="s">
        <v>1938</v>
      </c>
      <c r="G41" s="4" t="s">
        <v>932</v>
      </c>
      <c r="H41" s="6" t="s">
        <v>933</v>
      </c>
      <c r="I41" s="4" t="s">
        <v>934</v>
      </c>
      <c r="J41" s="8" t="s">
        <v>50</v>
      </c>
      <c r="K41" s="4" t="s">
        <v>127</v>
      </c>
      <c r="L41" s="4" t="s">
        <v>81</v>
      </c>
    </row>
    <row r="42" spans="1:12" ht="43.2" customHeight="1" x14ac:dyDescent="0.3">
      <c r="A42" s="3" t="s">
        <v>2050</v>
      </c>
      <c r="B42" s="4" t="s">
        <v>998</v>
      </c>
      <c r="C42" s="4" t="s">
        <v>999</v>
      </c>
      <c r="D42" s="5">
        <v>2025</v>
      </c>
      <c r="E42" s="3" t="s">
        <v>773</v>
      </c>
      <c r="F42" s="3" t="s">
        <v>1938</v>
      </c>
      <c r="G42" s="4" t="s">
        <v>1000</v>
      </c>
      <c r="H42" s="6" t="s">
        <v>1001</v>
      </c>
      <c r="I42" s="4" t="s">
        <v>1002</v>
      </c>
      <c r="J42" s="8" t="s">
        <v>50</v>
      </c>
      <c r="K42" s="4" t="s">
        <v>451</v>
      </c>
      <c r="L42" s="4" t="s">
        <v>81</v>
      </c>
    </row>
    <row r="43" spans="1:12" ht="43.2" customHeight="1" x14ac:dyDescent="0.3">
      <c r="A43" s="3" t="s">
        <v>2051</v>
      </c>
      <c r="B43" s="4" t="s">
        <v>1196</v>
      </c>
      <c r="C43" s="4" t="s">
        <v>1197</v>
      </c>
      <c r="D43" s="5">
        <v>2025</v>
      </c>
      <c r="E43" s="3" t="s">
        <v>773</v>
      </c>
      <c r="F43" s="3" t="s">
        <v>1938</v>
      </c>
      <c r="G43" s="4" t="s">
        <v>1198</v>
      </c>
      <c r="H43" s="6" t="s">
        <v>1199</v>
      </c>
      <c r="I43" s="4" t="s">
        <v>1200</v>
      </c>
      <c r="J43" s="8" t="s">
        <v>50</v>
      </c>
      <c r="K43" s="4" t="s">
        <v>37</v>
      </c>
      <c r="L43" s="4" t="s">
        <v>81</v>
      </c>
    </row>
    <row r="44" spans="1:12" ht="43.2" customHeight="1" x14ac:dyDescent="0.3">
      <c r="A44" s="3" t="s">
        <v>2052</v>
      </c>
      <c r="B44" s="4" t="s">
        <v>924</v>
      </c>
      <c r="C44" s="4" t="s">
        <v>925</v>
      </c>
      <c r="D44" s="5">
        <v>2025</v>
      </c>
      <c r="E44" s="3" t="s">
        <v>773</v>
      </c>
      <c r="F44" s="3" t="s">
        <v>1938</v>
      </c>
      <c r="G44" s="4" t="s">
        <v>926</v>
      </c>
      <c r="H44" s="6" t="s">
        <v>927</v>
      </c>
      <c r="I44" s="4" t="s">
        <v>928</v>
      </c>
      <c r="J44" s="7" t="s">
        <v>22</v>
      </c>
      <c r="K44" s="4" t="s">
        <v>120</v>
      </c>
      <c r="L44" s="4" t="s">
        <v>73</v>
      </c>
    </row>
    <row r="45" spans="1:12" ht="43.2" customHeight="1" x14ac:dyDescent="0.3">
      <c r="A45" s="3" t="s">
        <v>2053</v>
      </c>
      <c r="B45" s="4" t="s">
        <v>1010</v>
      </c>
      <c r="C45" s="4" t="s">
        <v>1011</v>
      </c>
      <c r="D45" s="5">
        <v>2026</v>
      </c>
      <c r="E45" s="3" t="s">
        <v>773</v>
      </c>
      <c r="F45" s="3" t="s">
        <v>1938</v>
      </c>
      <c r="G45" s="4" t="s">
        <v>1012</v>
      </c>
      <c r="H45" s="6" t="s">
        <v>1013</v>
      </c>
      <c r="I45" s="4" t="s">
        <v>1014</v>
      </c>
      <c r="J45" s="8" t="s">
        <v>50</v>
      </c>
      <c r="K45" s="4" t="s">
        <v>660</v>
      </c>
      <c r="L45" s="4" t="s">
        <v>81</v>
      </c>
    </row>
    <row r="46" spans="1:12" ht="43.2" customHeight="1" x14ac:dyDescent="0.3">
      <c r="A46" s="3" t="s">
        <v>2054</v>
      </c>
      <c r="B46" s="4" t="s">
        <v>1064</v>
      </c>
      <c r="C46" s="4" t="s">
        <v>1065</v>
      </c>
      <c r="D46" s="5">
        <v>2025</v>
      </c>
      <c r="E46" s="3" t="s">
        <v>773</v>
      </c>
      <c r="F46" s="3" t="s">
        <v>1938</v>
      </c>
      <c r="G46" s="4" t="s">
        <v>1066</v>
      </c>
      <c r="H46" s="6" t="s">
        <v>1067</v>
      </c>
      <c r="I46" s="4" t="s">
        <v>1068</v>
      </c>
      <c r="J46" s="8" t="s">
        <v>50</v>
      </c>
      <c r="K46" s="4" t="s">
        <v>451</v>
      </c>
      <c r="L46" s="4" t="s">
        <v>81</v>
      </c>
    </row>
    <row r="47" spans="1:12" ht="43.2" customHeight="1" x14ac:dyDescent="0.3">
      <c r="A47" s="3" t="s">
        <v>2055</v>
      </c>
      <c r="B47" s="4" t="s">
        <v>1052</v>
      </c>
      <c r="C47" s="4" t="s">
        <v>1053</v>
      </c>
      <c r="D47" s="5">
        <v>2025</v>
      </c>
      <c r="E47" s="3" t="s">
        <v>773</v>
      </c>
      <c r="F47" s="3" t="s">
        <v>1938</v>
      </c>
      <c r="G47" s="4" t="s">
        <v>1054</v>
      </c>
      <c r="H47" s="6" t="s">
        <v>1055</v>
      </c>
      <c r="I47" s="4" t="s">
        <v>1056</v>
      </c>
      <c r="J47" s="8" t="s">
        <v>50</v>
      </c>
      <c r="K47" s="4" t="s">
        <v>127</v>
      </c>
      <c r="L47" s="4" t="s">
        <v>81</v>
      </c>
    </row>
    <row r="48" spans="1:12" ht="43.2" customHeight="1" x14ac:dyDescent="0.3">
      <c r="A48" s="3" t="s">
        <v>2056</v>
      </c>
      <c r="B48" s="4" t="s">
        <v>1028</v>
      </c>
      <c r="C48" s="4" t="s">
        <v>1029</v>
      </c>
      <c r="D48" s="5">
        <v>2025</v>
      </c>
      <c r="E48" s="3" t="s">
        <v>773</v>
      </c>
      <c r="F48" s="3" t="s">
        <v>1938</v>
      </c>
      <c r="G48" s="4" t="s">
        <v>1030</v>
      </c>
      <c r="H48" s="6" t="s">
        <v>1031</v>
      </c>
      <c r="I48" s="4" t="s">
        <v>1032</v>
      </c>
      <c r="J48" s="7" t="s">
        <v>22</v>
      </c>
      <c r="K48" s="4" t="s">
        <v>127</v>
      </c>
      <c r="L48" s="4" t="s">
        <v>73</v>
      </c>
    </row>
    <row r="49" spans="1:12" ht="43.2" customHeight="1" x14ac:dyDescent="0.3">
      <c r="A49" s="3" t="s">
        <v>2057</v>
      </c>
      <c r="B49" s="4" t="s">
        <v>986</v>
      </c>
      <c r="C49" s="4" t="s">
        <v>987</v>
      </c>
      <c r="D49" s="5">
        <v>2025</v>
      </c>
      <c r="E49" s="3" t="s">
        <v>773</v>
      </c>
      <c r="F49" s="3" t="s">
        <v>1938</v>
      </c>
      <c r="G49" s="4" t="s">
        <v>988</v>
      </c>
      <c r="H49" s="6" t="s">
        <v>989</v>
      </c>
      <c r="I49" s="4" t="s">
        <v>990</v>
      </c>
      <c r="J49" s="8" t="s">
        <v>50</v>
      </c>
      <c r="K49" s="4" t="s">
        <v>260</v>
      </c>
      <c r="L49" s="4" t="s">
        <v>81</v>
      </c>
    </row>
    <row r="50" spans="1:12" ht="43.2" customHeight="1" x14ac:dyDescent="0.3">
      <c r="A50" s="3" t="s">
        <v>2058</v>
      </c>
      <c r="B50" s="4" t="s">
        <v>1136</v>
      </c>
      <c r="C50" s="4" t="s">
        <v>1137</v>
      </c>
      <c r="D50" s="5">
        <v>2026</v>
      </c>
      <c r="E50" s="3" t="s">
        <v>773</v>
      </c>
      <c r="F50" s="3" t="s">
        <v>1938</v>
      </c>
      <c r="G50" s="4" t="s">
        <v>1138</v>
      </c>
      <c r="H50" s="6" t="s">
        <v>1139</v>
      </c>
      <c r="I50" s="4" t="s">
        <v>1140</v>
      </c>
      <c r="J50" s="8" t="s">
        <v>50</v>
      </c>
      <c r="K50" s="4" t="s">
        <v>141</v>
      </c>
      <c r="L50" s="4" t="s">
        <v>81</v>
      </c>
    </row>
    <row r="51" spans="1:12" ht="43.2" customHeight="1" x14ac:dyDescent="0.3">
      <c r="A51" s="3" t="s">
        <v>2059</v>
      </c>
      <c r="B51" s="4" t="s">
        <v>912</v>
      </c>
      <c r="C51" s="4" t="s">
        <v>913</v>
      </c>
      <c r="D51" s="5">
        <v>2025</v>
      </c>
      <c r="E51" s="3" t="s">
        <v>773</v>
      </c>
      <c r="F51" s="3" t="s">
        <v>1938</v>
      </c>
      <c r="G51" s="4" t="s">
        <v>914</v>
      </c>
      <c r="H51" s="6" t="s">
        <v>915</v>
      </c>
      <c r="I51" s="4" t="s">
        <v>916</v>
      </c>
      <c r="J51" s="7" t="s">
        <v>22</v>
      </c>
      <c r="K51" s="4" t="s">
        <v>23</v>
      </c>
      <c r="L51" s="4" t="s">
        <v>73</v>
      </c>
    </row>
    <row r="52" spans="1:12" ht="43.2" customHeight="1" x14ac:dyDescent="0.3">
      <c r="A52" s="3" t="s">
        <v>2060</v>
      </c>
      <c r="B52" s="4" t="s">
        <v>1016</v>
      </c>
      <c r="C52" s="4" t="s">
        <v>1017</v>
      </c>
      <c r="D52" s="5">
        <v>2025</v>
      </c>
      <c r="E52" s="3" t="s">
        <v>773</v>
      </c>
      <c r="F52" s="3" t="s">
        <v>1938</v>
      </c>
      <c r="G52" s="4" t="s">
        <v>1018</v>
      </c>
      <c r="H52" s="6" t="s">
        <v>1019</v>
      </c>
      <c r="I52" s="4" t="s">
        <v>1020</v>
      </c>
      <c r="J52" s="8" t="s">
        <v>50</v>
      </c>
      <c r="K52" s="4" t="s">
        <v>660</v>
      </c>
      <c r="L52" s="4" t="s">
        <v>81</v>
      </c>
    </row>
    <row r="53" spans="1:12" ht="43.2" customHeight="1" x14ac:dyDescent="0.3">
      <c r="A53" s="3" t="s">
        <v>2061</v>
      </c>
      <c r="B53" s="4" t="s">
        <v>1118</v>
      </c>
      <c r="C53" s="4" t="s">
        <v>1119</v>
      </c>
      <c r="D53" s="5">
        <v>2025</v>
      </c>
      <c r="E53" s="3" t="s">
        <v>773</v>
      </c>
      <c r="F53" s="3" t="s">
        <v>1938</v>
      </c>
      <c r="G53" s="4" t="s">
        <v>1120</v>
      </c>
      <c r="H53" s="6" t="s">
        <v>1121</v>
      </c>
      <c r="I53" s="4" t="s">
        <v>1122</v>
      </c>
      <c r="J53" s="8" t="s">
        <v>50</v>
      </c>
      <c r="K53" s="4" t="s">
        <v>127</v>
      </c>
      <c r="L53" s="4" t="s">
        <v>81</v>
      </c>
    </row>
    <row r="54" spans="1:12" ht="43.2" customHeight="1" x14ac:dyDescent="0.3">
      <c r="A54" s="3" t="s">
        <v>2062</v>
      </c>
      <c r="B54" s="4" t="s">
        <v>1166</v>
      </c>
      <c r="C54" s="4" t="s">
        <v>1167</v>
      </c>
      <c r="D54" s="5">
        <v>2025</v>
      </c>
      <c r="E54" s="3" t="s">
        <v>773</v>
      </c>
      <c r="F54" s="3" t="s">
        <v>1938</v>
      </c>
      <c r="G54" s="4" t="s">
        <v>1168</v>
      </c>
      <c r="H54" s="6" t="s">
        <v>1169</v>
      </c>
      <c r="I54" s="4" t="s">
        <v>1170</v>
      </c>
      <c r="J54" s="8" t="s">
        <v>50</v>
      </c>
      <c r="K54" s="4" t="s">
        <v>451</v>
      </c>
      <c r="L54" s="4" t="s">
        <v>81</v>
      </c>
    </row>
    <row r="55" spans="1:12" ht="43.2" customHeight="1" x14ac:dyDescent="0.3">
      <c r="A55" s="3" t="s">
        <v>2063</v>
      </c>
      <c r="B55" s="4" t="s">
        <v>1004</v>
      </c>
      <c r="C55" s="4" t="s">
        <v>1005</v>
      </c>
      <c r="D55" s="5">
        <v>2025</v>
      </c>
      <c r="E55" s="3" t="s">
        <v>773</v>
      </c>
      <c r="F55" s="3" t="s">
        <v>1938</v>
      </c>
      <c r="G55" s="4" t="s">
        <v>1006</v>
      </c>
      <c r="H55" s="6" t="s">
        <v>1007</v>
      </c>
      <c r="I55" s="4" t="s">
        <v>1008</v>
      </c>
      <c r="J55" s="8" t="s">
        <v>50</v>
      </c>
      <c r="K55" s="4" t="s">
        <v>37</v>
      </c>
      <c r="L55" s="4" t="s">
        <v>81</v>
      </c>
    </row>
    <row r="56" spans="1:12" ht="43.2" customHeight="1" x14ac:dyDescent="0.3">
      <c r="A56" s="3" t="s">
        <v>2064</v>
      </c>
      <c r="B56" s="4" t="s">
        <v>1094</v>
      </c>
      <c r="C56" s="4" t="s">
        <v>1095</v>
      </c>
      <c r="D56" s="5">
        <v>2025</v>
      </c>
      <c r="E56" s="3" t="s">
        <v>773</v>
      </c>
      <c r="F56" s="3" t="s">
        <v>1938</v>
      </c>
      <c r="G56" s="4" t="s">
        <v>1096</v>
      </c>
      <c r="H56" s="6" t="s">
        <v>1097</v>
      </c>
      <c r="I56" s="4" t="s">
        <v>1098</v>
      </c>
      <c r="J56" s="8" t="s">
        <v>50</v>
      </c>
      <c r="K56" s="4" t="s">
        <v>286</v>
      </c>
      <c r="L56" s="4" t="s">
        <v>81</v>
      </c>
    </row>
    <row r="57" spans="1:12" ht="43.2" customHeight="1" x14ac:dyDescent="0.3">
      <c r="A57" s="3" t="s">
        <v>2065</v>
      </c>
      <c r="B57" s="4" t="s">
        <v>1082</v>
      </c>
      <c r="C57" s="4" t="s">
        <v>1083</v>
      </c>
      <c r="D57" s="5">
        <v>2025</v>
      </c>
      <c r="E57" s="3" t="s">
        <v>773</v>
      </c>
      <c r="F57" s="3" t="s">
        <v>1938</v>
      </c>
      <c r="G57" s="4" t="s">
        <v>1084</v>
      </c>
      <c r="H57" s="6" t="s">
        <v>1085</v>
      </c>
      <c r="I57" s="4" t="s">
        <v>1086</v>
      </c>
      <c r="J57" s="8" t="s">
        <v>50</v>
      </c>
      <c r="K57" s="4" t="s">
        <v>127</v>
      </c>
      <c r="L57" s="4" t="s">
        <v>81</v>
      </c>
    </row>
    <row r="58" spans="1:12" ht="43.2" customHeight="1" x14ac:dyDescent="0.3">
      <c r="A58" s="3" t="s">
        <v>2066</v>
      </c>
      <c r="B58" s="4" t="s">
        <v>980</v>
      </c>
      <c r="C58" s="4" t="s">
        <v>981</v>
      </c>
      <c r="D58" s="5">
        <v>2025</v>
      </c>
      <c r="E58" s="3" t="s">
        <v>773</v>
      </c>
      <c r="F58" s="3" t="s">
        <v>1938</v>
      </c>
      <c r="G58" s="4" t="s">
        <v>982</v>
      </c>
      <c r="H58" s="6" t="s">
        <v>983</v>
      </c>
      <c r="I58" s="4" t="s">
        <v>984</v>
      </c>
      <c r="J58" s="8" t="s">
        <v>50</v>
      </c>
      <c r="K58" s="4" t="s">
        <v>37</v>
      </c>
      <c r="L58" s="4" t="s">
        <v>81</v>
      </c>
    </row>
    <row r="59" spans="1:12" ht="43.2" customHeight="1" x14ac:dyDescent="0.3">
      <c r="A59" s="3" t="s">
        <v>2067</v>
      </c>
      <c r="B59" s="4" t="s">
        <v>1040</v>
      </c>
      <c r="C59" s="4" t="s">
        <v>1041</v>
      </c>
      <c r="D59" s="5">
        <v>2025</v>
      </c>
      <c r="E59" s="3" t="s">
        <v>773</v>
      </c>
      <c r="F59" s="3" t="s">
        <v>1938</v>
      </c>
      <c r="G59" s="4" t="s">
        <v>1042</v>
      </c>
      <c r="H59" s="6" t="s">
        <v>1043</v>
      </c>
      <c r="I59" s="4" t="s">
        <v>1044</v>
      </c>
      <c r="J59" s="8" t="s">
        <v>50</v>
      </c>
      <c r="K59" s="4" t="s">
        <v>451</v>
      </c>
      <c r="L59" s="4" t="s">
        <v>81</v>
      </c>
    </row>
    <row r="60" spans="1:12" ht="43.2" customHeight="1" x14ac:dyDescent="0.3">
      <c r="A60" s="3" t="s">
        <v>2068</v>
      </c>
      <c r="B60" s="4" t="s">
        <v>1208</v>
      </c>
      <c r="C60" s="4" t="s">
        <v>1209</v>
      </c>
      <c r="D60" s="5">
        <v>2024</v>
      </c>
      <c r="E60" s="3" t="s">
        <v>773</v>
      </c>
      <c r="F60" s="3" t="s">
        <v>1938</v>
      </c>
      <c r="G60" s="4" t="s">
        <v>1210</v>
      </c>
      <c r="H60" s="6" t="s">
        <v>1211</v>
      </c>
      <c r="I60" s="4" t="s">
        <v>1212</v>
      </c>
      <c r="J60" s="8" t="s">
        <v>50</v>
      </c>
      <c r="K60" s="4" t="s">
        <v>451</v>
      </c>
      <c r="L60" s="4" t="s">
        <v>81</v>
      </c>
    </row>
    <row r="61" spans="1:12" ht="43.2" customHeight="1" x14ac:dyDescent="0.3">
      <c r="A61" s="3" t="s">
        <v>2069</v>
      </c>
      <c r="B61" s="4" t="s">
        <v>1293</v>
      </c>
      <c r="C61" s="4" t="s">
        <v>1294</v>
      </c>
      <c r="D61" s="5">
        <v>2024</v>
      </c>
      <c r="E61" s="3" t="s">
        <v>773</v>
      </c>
      <c r="F61" s="3" t="s">
        <v>1938</v>
      </c>
      <c r="G61" s="4" t="s">
        <v>1295</v>
      </c>
      <c r="H61" s="6" t="s">
        <v>1296</v>
      </c>
      <c r="I61" s="4" t="s">
        <v>1297</v>
      </c>
      <c r="J61" s="8" t="s">
        <v>50</v>
      </c>
      <c r="K61" s="4" t="s">
        <v>660</v>
      </c>
      <c r="L61" s="4" t="s">
        <v>81</v>
      </c>
    </row>
    <row r="62" spans="1:12" ht="43.2" customHeight="1" x14ac:dyDescent="0.3">
      <c r="A62" s="3" t="s">
        <v>2070</v>
      </c>
      <c r="B62" s="4" t="s">
        <v>1034</v>
      </c>
      <c r="C62" s="4" t="s">
        <v>1035</v>
      </c>
      <c r="D62" s="5">
        <v>2026</v>
      </c>
      <c r="E62" s="3" t="s">
        <v>773</v>
      </c>
      <c r="F62" s="3" t="s">
        <v>1938</v>
      </c>
      <c r="G62" s="4" t="s">
        <v>1036</v>
      </c>
      <c r="H62" s="6" t="s">
        <v>1037</v>
      </c>
      <c r="I62" s="4" t="s">
        <v>1038</v>
      </c>
      <c r="J62" s="8" t="s">
        <v>50</v>
      </c>
      <c r="K62" s="4" t="s">
        <v>66</v>
      </c>
      <c r="L62" s="4" t="s">
        <v>81</v>
      </c>
    </row>
    <row r="63" spans="1:12" ht="43.2" customHeight="1" x14ac:dyDescent="0.3">
      <c r="A63" s="3" t="s">
        <v>2071</v>
      </c>
      <c r="B63" s="4" t="s">
        <v>1142</v>
      </c>
      <c r="C63" s="4" t="s">
        <v>1143</v>
      </c>
      <c r="D63" s="5">
        <v>2024</v>
      </c>
      <c r="E63" s="3" t="s">
        <v>773</v>
      </c>
      <c r="F63" s="3" t="s">
        <v>1938</v>
      </c>
      <c r="G63" s="4" t="s">
        <v>1144</v>
      </c>
      <c r="H63" s="6" t="s">
        <v>1145</v>
      </c>
      <c r="I63" s="4" t="s">
        <v>1146</v>
      </c>
      <c r="J63" s="8" t="s">
        <v>50</v>
      </c>
      <c r="K63" s="4" t="s">
        <v>260</v>
      </c>
      <c r="L63" s="4" t="s">
        <v>81</v>
      </c>
    </row>
    <row r="64" spans="1:12" ht="43.2" customHeight="1" x14ac:dyDescent="0.3">
      <c r="A64" s="3" t="s">
        <v>2072</v>
      </c>
      <c r="B64" s="4" t="s">
        <v>1263</v>
      </c>
      <c r="C64" s="4" t="s">
        <v>1264</v>
      </c>
      <c r="D64" s="5">
        <v>2024</v>
      </c>
      <c r="E64" s="3" t="s">
        <v>773</v>
      </c>
      <c r="F64" s="3" t="s">
        <v>1938</v>
      </c>
      <c r="G64" s="4" t="s">
        <v>1265</v>
      </c>
      <c r="H64" s="6" t="s">
        <v>1266</v>
      </c>
      <c r="I64" s="4" t="s">
        <v>1267</v>
      </c>
      <c r="J64" s="8" t="s">
        <v>50</v>
      </c>
      <c r="K64" s="4" t="s">
        <v>451</v>
      </c>
      <c r="L64" s="4" t="s">
        <v>81</v>
      </c>
    </row>
    <row r="65" spans="1:12" ht="43.2" customHeight="1" x14ac:dyDescent="0.3">
      <c r="A65" s="3" t="s">
        <v>2073</v>
      </c>
      <c r="B65" s="4" t="s">
        <v>1100</v>
      </c>
      <c r="C65" s="4" t="s">
        <v>1101</v>
      </c>
      <c r="D65" s="5">
        <v>2025</v>
      </c>
      <c r="E65" s="3" t="s">
        <v>773</v>
      </c>
      <c r="F65" s="3" t="s">
        <v>1938</v>
      </c>
      <c r="G65" s="4" t="s">
        <v>1102</v>
      </c>
      <c r="H65" s="6" t="s">
        <v>1103</v>
      </c>
      <c r="I65" s="4" t="s">
        <v>1104</v>
      </c>
      <c r="J65" s="8" t="s">
        <v>50</v>
      </c>
      <c r="K65" s="4" t="s">
        <v>647</v>
      </c>
      <c r="L65" s="4" t="s">
        <v>81</v>
      </c>
    </row>
    <row r="66" spans="1:12" ht="43.2" customHeight="1" x14ac:dyDescent="0.3">
      <c r="A66" s="3" t="s">
        <v>2074</v>
      </c>
      <c r="B66" s="4" t="s">
        <v>1184</v>
      </c>
      <c r="C66" s="4" t="s">
        <v>1185</v>
      </c>
      <c r="D66" s="5">
        <v>2025</v>
      </c>
      <c r="E66" s="3" t="s">
        <v>773</v>
      </c>
      <c r="F66" s="3" t="s">
        <v>1938</v>
      </c>
      <c r="G66" s="4" t="s">
        <v>1186</v>
      </c>
      <c r="H66" s="6" t="s">
        <v>1187</v>
      </c>
      <c r="I66" s="4" t="s">
        <v>1188</v>
      </c>
      <c r="J66" s="8" t="s">
        <v>50</v>
      </c>
      <c r="K66" s="4" t="s">
        <v>451</v>
      </c>
      <c r="L66" s="4" t="s">
        <v>81</v>
      </c>
    </row>
    <row r="67" spans="1:12" ht="43.2" customHeight="1" x14ac:dyDescent="0.3">
      <c r="A67" s="3" t="s">
        <v>2075</v>
      </c>
      <c r="B67" s="4" t="s">
        <v>1154</v>
      </c>
      <c r="C67" s="4" t="s">
        <v>1155</v>
      </c>
      <c r="D67" s="5">
        <v>2025</v>
      </c>
      <c r="E67" s="3" t="s">
        <v>773</v>
      </c>
      <c r="F67" s="3" t="s">
        <v>1938</v>
      </c>
      <c r="G67" s="4" t="s">
        <v>1156</v>
      </c>
      <c r="H67" s="6" t="s">
        <v>1157</v>
      </c>
      <c r="I67" s="4" t="s">
        <v>1158</v>
      </c>
      <c r="J67" s="8" t="s">
        <v>50</v>
      </c>
      <c r="K67" s="4" t="s">
        <v>37</v>
      </c>
      <c r="L67" s="4" t="s">
        <v>81</v>
      </c>
    </row>
    <row r="68" spans="1:12" ht="43.2" customHeight="1" x14ac:dyDescent="0.3">
      <c r="A68" s="3" t="s">
        <v>2076</v>
      </c>
      <c r="B68" s="4" t="s">
        <v>1269</v>
      </c>
      <c r="C68" s="4" t="s">
        <v>1270</v>
      </c>
      <c r="D68" s="5">
        <v>2023</v>
      </c>
      <c r="E68" s="3" t="s">
        <v>773</v>
      </c>
      <c r="F68" s="3" t="s">
        <v>1938</v>
      </c>
      <c r="G68" s="4" t="s">
        <v>1271</v>
      </c>
      <c r="H68" s="6" t="s">
        <v>1272</v>
      </c>
      <c r="I68" s="4" t="s">
        <v>1273</v>
      </c>
      <c r="J68" s="8" t="s">
        <v>50</v>
      </c>
      <c r="K68" s="4" t="s">
        <v>451</v>
      </c>
      <c r="L68" s="4" t="s">
        <v>81</v>
      </c>
    </row>
    <row r="69" spans="1:12" ht="43.2" customHeight="1" x14ac:dyDescent="0.3">
      <c r="A69" s="3" t="s">
        <v>2077</v>
      </c>
      <c r="B69" s="4" t="s">
        <v>948</v>
      </c>
      <c r="C69" s="4" t="s">
        <v>949</v>
      </c>
      <c r="D69" s="5">
        <v>2026</v>
      </c>
      <c r="E69" s="3" t="s">
        <v>773</v>
      </c>
      <c r="F69" s="3" t="s">
        <v>1938</v>
      </c>
      <c r="G69" s="4" t="s">
        <v>950</v>
      </c>
      <c r="H69" s="6" t="s">
        <v>951</v>
      </c>
      <c r="I69" s="4" t="s">
        <v>952</v>
      </c>
      <c r="J69" s="8" t="s">
        <v>50</v>
      </c>
      <c r="K69" s="4" t="s">
        <v>953</v>
      </c>
      <c r="L69" s="4" t="s">
        <v>81</v>
      </c>
    </row>
    <row r="70" spans="1:12" ht="43.2" customHeight="1" x14ac:dyDescent="0.3">
      <c r="A70" s="3" t="s">
        <v>2078</v>
      </c>
      <c r="B70" s="4" t="s">
        <v>1232</v>
      </c>
      <c r="C70" s="4" t="s">
        <v>1233</v>
      </c>
      <c r="D70" s="5">
        <v>2025</v>
      </c>
      <c r="E70" s="3" t="s">
        <v>773</v>
      </c>
      <c r="F70" s="3" t="s">
        <v>1938</v>
      </c>
      <c r="G70" s="4" t="s">
        <v>1234</v>
      </c>
      <c r="H70" s="6" t="s">
        <v>1235</v>
      </c>
      <c r="I70" s="4" t="s">
        <v>1236</v>
      </c>
      <c r="J70" s="8" t="s">
        <v>50</v>
      </c>
      <c r="K70" s="4" t="s">
        <v>885</v>
      </c>
      <c r="L70" s="4" t="s">
        <v>81</v>
      </c>
    </row>
    <row r="71" spans="1:12" ht="43.2" customHeight="1" x14ac:dyDescent="0.3">
      <c r="A71" s="3" t="s">
        <v>2079</v>
      </c>
      <c r="B71" s="4" t="s">
        <v>1226</v>
      </c>
      <c r="C71" s="4" t="s">
        <v>1227</v>
      </c>
      <c r="D71" s="5">
        <v>2024</v>
      </c>
      <c r="E71" s="3" t="s">
        <v>773</v>
      </c>
      <c r="F71" s="3" t="s">
        <v>1938</v>
      </c>
      <c r="G71" s="4" t="s">
        <v>1228</v>
      </c>
      <c r="H71" s="6" t="s">
        <v>1229</v>
      </c>
      <c r="I71" s="4" t="s">
        <v>1230</v>
      </c>
      <c r="J71" s="8" t="s">
        <v>50</v>
      </c>
      <c r="K71" s="4" t="s">
        <v>66</v>
      </c>
      <c r="L71" s="4" t="s">
        <v>81</v>
      </c>
    </row>
    <row r="72" spans="1:12" ht="43.2" customHeight="1" x14ac:dyDescent="0.3">
      <c r="A72" s="3" t="s">
        <v>2080</v>
      </c>
      <c r="B72" s="4" t="s">
        <v>1244</v>
      </c>
      <c r="C72" s="4" t="s">
        <v>1245</v>
      </c>
      <c r="D72" s="5">
        <v>2026</v>
      </c>
      <c r="E72" s="3" t="s">
        <v>773</v>
      </c>
      <c r="F72" s="3" t="s">
        <v>1938</v>
      </c>
      <c r="G72" s="4" t="s">
        <v>1246</v>
      </c>
      <c r="H72" s="6" t="s">
        <v>1247</v>
      </c>
      <c r="I72" s="4" t="s">
        <v>1248</v>
      </c>
      <c r="J72" s="8" t="s">
        <v>50</v>
      </c>
      <c r="K72" s="4" t="s">
        <v>66</v>
      </c>
      <c r="L72" s="4" t="s">
        <v>81</v>
      </c>
    </row>
    <row r="73" spans="1:12" ht="43.2" customHeight="1" x14ac:dyDescent="0.3">
      <c r="A73" s="3" t="s">
        <v>2081</v>
      </c>
      <c r="B73" s="4" t="s">
        <v>1317</v>
      </c>
      <c r="C73" s="4" t="s">
        <v>1318</v>
      </c>
      <c r="D73" s="5">
        <v>2024</v>
      </c>
      <c r="E73" s="3" t="s">
        <v>773</v>
      </c>
      <c r="F73" s="3" t="s">
        <v>1938</v>
      </c>
      <c r="G73" s="4" t="s">
        <v>1319</v>
      </c>
      <c r="H73" s="6" t="s">
        <v>1320</v>
      </c>
      <c r="I73" s="4" t="s">
        <v>1321</v>
      </c>
      <c r="J73" s="8" t="s">
        <v>50</v>
      </c>
      <c r="K73" s="4" t="s">
        <v>127</v>
      </c>
      <c r="L73" s="4" t="s">
        <v>81</v>
      </c>
    </row>
    <row r="74" spans="1:12" ht="43.2" customHeight="1" x14ac:dyDescent="0.3">
      <c r="A74" s="3" t="s">
        <v>2082</v>
      </c>
      <c r="B74" s="4" t="s">
        <v>1333</v>
      </c>
      <c r="C74" s="4" t="s">
        <v>1334</v>
      </c>
      <c r="D74" s="5">
        <v>2021</v>
      </c>
      <c r="E74" s="3" t="s">
        <v>773</v>
      </c>
      <c r="F74" s="3" t="s">
        <v>1938</v>
      </c>
      <c r="G74" s="4" t="s">
        <v>1335</v>
      </c>
      <c r="H74" s="6" t="s">
        <v>1336</v>
      </c>
      <c r="I74" s="4" t="s">
        <v>1337</v>
      </c>
      <c r="J74" s="8" t="s">
        <v>50</v>
      </c>
      <c r="K74" s="4" t="s">
        <v>616</v>
      </c>
      <c r="L74" s="4" t="s">
        <v>81</v>
      </c>
    </row>
    <row r="75" spans="1:12" ht="43.2" customHeight="1" x14ac:dyDescent="0.3">
      <c r="A75" s="3" t="s">
        <v>2083</v>
      </c>
      <c r="B75" s="4" t="s">
        <v>1394</v>
      </c>
      <c r="C75" s="4" t="s">
        <v>1395</v>
      </c>
      <c r="D75" s="5">
        <v>2025</v>
      </c>
      <c r="E75" s="3" t="s">
        <v>773</v>
      </c>
      <c r="F75" s="3" t="s">
        <v>1938</v>
      </c>
      <c r="G75" s="4" t="s">
        <v>1396</v>
      </c>
      <c r="H75" s="6" t="s">
        <v>1397</v>
      </c>
      <c r="I75" s="4" t="s">
        <v>1398</v>
      </c>
      <c r="J75" s="8" t="s">
        <v>50</v>
      </c>
      <c r="K75" s="4" t="s">
        <v>451</v>
      </c>
      <c r="L75" s="4" t="s">
        <v>81</v>
      </c>
    </row>
    <row r="76" spans="1:12" ht="43.2" customHeight="1" x14ac:dyDescent="0.3">
      <c r="A76" s="3" t="s">
        <v>2084</v>
      </c>
      <c r="B76" s="4" t="s">
        <v>1220</v>
      </c>
      <c r="C76" s="4" t="s">
        <v>1221</v>
      </c>
      <c r="D76" s="5">
        <v>2024</v>
      </c>
      <c r="E76" s="3" t="s">
        <v>773</v>
      </c>
      <c r="F76" s="3" t="s">
        <v>1938</v>
      </c>
      <c r="G76" s="4" t="s">
        <v>1222</v>
      </c>
      <c r="H76" s="6" t="s">
        <v>1223</v>
      </c>
      <c r="I76" s="4" t="s">
        <v>1224</v>
      </c>
      <c r="J76" s="8" t="s">
        <v>50</v>
      </c>
      <c r="K76" s="4" t="s">
        <v>260</v>
      </c>
      <c r="L76" s="4" t="s">
        <v>81</v>
      </c>
    </row>
    <row r="77" spans="1:12" ht="43.2" customHeight="1" x14ac:dyDescent="0.3">
      <c r="A77" s="3" t="s">
        <v>2085</v>
      </c>
      <c r="B77" s="4" t="s">
        <v>1329</v>
      </c>
      <c r="C77" s="4" t="s">
        <v>1330</v>
      </c>
      <c r="D77" s="5">
        <v>2014</v>
      </c>
      <c r="E77" s="3" t="s">
        <v>773</v>
      </c>
      <c r="F77" s="3" t="s">
        <v>1938</v>
      </c>
      <c r="G77" s="4" t="s">
        <v>207</v>
      </c>
      <c r="H77" s="4" t="s">
        <v>207</v>
      </c>
      <c r="I77" s="4" t="s">
        <v>1331</v>
      </c>
      <c r="J77" s="8" t="s">
        <v>50</v>
      </c>
      <c r="K77" s="4" t="s">
        <v>451</v>
      </c>
      <c r="L77" s="4" t="s">
        <v>81</v>
      </c>
    </row>
    <row r="78" spans="1:12" ht="43.2" customHeight="1" x14ac:dyDescent="0.3">
      <c r="A78" s="3" t="s">
        <v>2086</v>
      </c>
      <c r="B78" s="4" t="s">
        <v>1485</v>
      </c>
      <c r="C78" s="4" t="s">
        <v>1486</v>
      </c>
      <c r="D78" s="5">
        <v>1993</v>
      </c>
      <c r="E78" s="3" t="s">
        <v>773</v>
      </c>
      <c r="F78" s="3" t="s">
        <v>1938</v>
      </c>
      <c r="G78" s="4" t="s">
        <v>1487</v>
      </c>
      <c r="H78" s="6" t="s">
        <v>1488</v>
      </c>
      <c r="I78" s="4" t="s">
        <v>1483</v>
      </c>
      <c r="J78" s="8" t="s">
        <v>50</v>
      </c>
      <c r="K78" s="4" t="s">
        <v>451</v>
      </c>
      <c r="L78" s="4" t="s">
        <v>81</v>
      </c>
    </row>
    <row r="79" spans="1:12" ht="43.2" customHeight="1" x14ac:dyDescent="0.3">
      <c r="A79" s="3" t="s">
        <v>2087</v>
      </c>
      <c r="B79" s="4" t="s">
        <v>1430</v>
      </c>
      <c r="C79" s="4" t="s">
        <v>1431</v>
      </c>
      <c r="D79" s="5">
        <v>2022</v>
      </c>
      <c r="E79" s="3" t="s">
        <v>773</v>
      </c>
      <c r="F79" s="3" t="s">
        <v>1938</v>
      </c>
      <c r="G79" s="4" t="s">
        <v>207</v>
      </c>
      <c r="H79" s="4" t="s">
        <v>207</v>
      </c>
      <c r="I79" s="4" t="s">
        <v>1432</v>
      </c>
      <c r="J79" s="8" t="s">
        <v>50</v>
      </c>
      <c r="K79" s="4" t="s">
        <v>1344</v>
      </c>
      <c r="L79" s="4" t="s">
        <v>81</v>
      </c>
    </row>
  </sheetData>
  <mergeCells count="2">
    <mergeCell ref="A2:L2"/>
    <mergeCell ref="A1:L1"/>
  </mergeCells>
  <pageMargins left="0.7" right="0.7" top="0.75" bottom="0.75" header="0.3" footer="0.3"/>
  <pageSetup paperSize="9"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3"/>
  <sheetViews>
    <sheetView workbookViewId="0">
      <selection sqref="A1:L1"/>
    </sheetView>
  </sheetViews>
  <sheetFormatPr defaultRowHeight="14.4" x14ac:dyDescent="0.3"/>
  <cols>
    <col min="1" max="1" width="15" customWidth="1"/>
    <col min="2" max="2" width="46" customWidth="1"/>
    <col min="3" max="3" width="34" customWidth="1"/>
    <col min="4" max="4" width="11" customWidth="1"/>
    <col min="5" max="5" width="18" customWidth="1"/>
    <col min="6" max="6" width="16" customWidth="1"/>
    <col min="7" max="7" width="24" customWidth="1"/>
    <col min="8" max="8" width="30" customWidth="1"/>
    <col min="9" max="9" width="80" customWidth="1"/>
    <col min="10" max="10" width="18" customWidth="1"/>
    <col min="11" max="11" width="26" customWidth="1"/>
    <col min="12" max="12" width="34" customWidth="1"/>
  </cols>
  <sheetData>
    <row r="1" spans="1:12" ht="19.2" customHeight="1" x14ac:dyDescent="0.3">
      <c r="A1" s="31" t="s">
        <v>2088</v>
      </c>
      <c r="B1" s="30"/>
      <c r="C1" s="30"/>
      <c r="D1" s="30"/>
      <c r="E1" s="30"/>
      <c r="F1" s="30"/>
      <c r="G1" s="30"/>
      <c r="H1" s="30"/>
      <c r="I1" s="30"/>
      <c r="J1" s="30"/>
      <c r="K1" s="30"/>
      <c r="L1" s="30"/>
    </row>
    <row r="2" spans="1:12" ht="28.8" customHeight="1" x14ac:dyDescent="0.3">
      <c r="A2" s="29" t="s">
        <v>2089</v>
      </c>
      <c r="B2" s="30"/>
      <c r="C2" s="30"/>
      <c r="D2" s="30"/>
      <c r="E2" s="30"/>
      <c r="F2" s="30"/>
      <c r="G2" s="30"/>
      <c r="H2" s="30"/>
      <c r="I2" s="30"/>
      <c r="J2" s="30"/>
      <c r="K2" s="30"/>
      <c r="L2" s="30"/>
    </row>
    <row r="4" spans="1:12" ht="28.8" x14ac:dyDescent="0.3">
      <c r="A4" s="2" t="s">
        <v>2</v>
      </c>
      <c r="B4" s="2" t="s">
        <v>3</v>
      </c>
      <c r="C4" s="2" t="s">
        <v>4</v>
      </c>
      <c r="D4" s="2" t="s">
        <v>5</v>
      </c>
      <c r="E4" s="2" t="s">
        <v>6</v>
      </c>
      <c r="F4" s="2" t="s">
        <v>7</v>
      </c>
      <c r="G4" s="2" t="s">
        <v>8</v>
      </c>
      <c r="H4" s="2" t="s">
        <v>9</v>
      </c>
      <c r="I4" s="2" t="s">
        <v>10</v>
      </c>
      <c r="J4" s="2" t="s">
        <v>11</v>
      </c>
      <c r="K4" s="2" t="s">
        <v>12</v>
      </c>
      <c r="L4" s="2" t="s">
        <v>13</v>
      </c>
    </row>
    <row r="5" spans="1:12" ht="43.2" customHeight="1" x14ac:dyDescent="0.3">
      <c r="A5" s="3" t="s">
        <v>2090</v>
      </c>
      <c r="B5" s="4" t="s">
        <v>2091</v>
      </c>
      <c r="C5" s="4" t="s">
        <v>2092</v>
      </c>
      <c r="D5" s="5">
        <v>2025</v>
      </c>
      <c r="E5" s="3" t="s">
        <v>1494</v>
      </c>
      <c r="F5" s="3" t="s">
        <v>1938</v>
      </c>
      <c r="G5" s="4" t="s">
        <v>2093</v>
      </c>
      <c r="H5" s="6" t="s">
        <v>2094</v>
      </c>
      <c r="I5" s="4" t="s">
        <v>2095</v>
      </c>
      <c r="J5" s="7" t="s">
        <v>22</v>
      </c>
      <c r="K5" s="4" t="s">
        <v>127</v>
      </c>
      <c r="L5" s="4" t="s">
        <v>24</v>
      </c>
    </row>
    <row r="6" spans="1:12" ht="43.2" customHeight="1" x14ac:dyDescent="0.3">
      <c r="A6" s="3" t="s">
        <v>2096</v>
      </c>
      <c r="B6" s="4" t="s">
        <v>2097</v>
      </c>
      <c r="C6" s="4" t="s">
        <v>2098</v>
      </c>
      <c r="D6" s="5">
        <v>2025</v>
      </c>
      <c r="E6" s="3" t="s">
        <v>1494</v>
      </c>
      <c r="F6" s="3" t="s">
        <v>1938</v>
      </c>
      <c r="G6" s="4" t="s">
        <v>2099</v>
      </c>
      <c r="H6" s="6" t="s">
        <v>2100</v>
      </c>
      <c r="I6" s="4" t="s">
        <v>2101</v>
      </c>
      <c r="J6" s="7" t="s">
        <v>22</v>
      </c>
      <c r="K6" s="4" t="s">
        <v>2102</v>
      </c>
      <c r="L6" s="4" t="s">
        <v>24</v>
      </c>
    </row>
    <row r="7" spans="1:12" ht="43.2" customHeight="1" x14ac:dyDescent="0.3">
      <c r="A7" s="3" t="s">
        <v>2103</v>
      </c>
      <c r="B7" s="4" t="s">
        <v>1784</v>
      </c>
      <c r="C7" s="4" t="s">
        <v>1785</v>
      </c>
      <c r="D7" s="5">
        <v>2025</v>
      </c>
      <c r="E7" s="3" t="s">
        <v>1494</v>
      </c>
      <c r="F7" s="3" t="s">
        <v>1938</v>
      </c>
      <c r="G7" s="4" t="s">
        <v>1786</v>
      </c>
      <c r="H7" s="6" t="s">
        <v>1787</v>
      </c>
      <c r="I7" s="4" t="s">
        <v>1788</v>
      </c>
      <c r="J7" s="7" t="s">
        <v>22</v>
      </c>
      <c r="K7" s="4" t="s">
        <v>127</v>
      </c>
      <c r="L7" s="4" t="s">
        <v>73</v>
      </c>
    </row>
    <row r="8" spans="1:12" ht="43.2" customHeight="1" x14ac:dyDescent="0.3">
      <c r="A8" s="3" t="s">
        <v>2104</v>
      </c>
      <c r="B8" s="4" t="s">
        <v>2105</v>
      </c>
      <c r="C8" s="4" t="s">
        <v>2106</v>
      </c>
      <c r="D8" s="5">
        <v>2025</v>
      </c>
      <c r="E8" s="3" t="s">
        <v>1494</v>
      </c>
      <c r="F8" s="3" t="s">
        <v>1938</v>
      </c>
      <c r="G8" s="4" t="s">
        <v>2107</v>
      </c>
      <c r="H8" s="6" t="s">
        <v>2108</v>
      </c>
      <c r="I8" s="4" t="s">
        <v>2109</v>
      </c>
      <c r="J8" s="7" t="s">
        <v>22</v>
      </c>
      <c r="K8" s="4" t="s">
        <v>210</v>
      </c>
      <c r="L8" s="4" t="s">
        <v>24</v>
      </c>
    </row>
    <row r="9" spans="1:12" ht="43.2" customHeight="1" x14ac:dyDescent="0.3">
      <c r="A9" s="3" t="s">
        <v>2110</v>
      </c>
      <c r="B9" s="4" t="s">
        <v>2111</v>
      </c>
      <c r="C9" s="4" t="s">
        <v>2112</v>
      </c>
      <c r="D9" s="5">
        <v>2025</v>
      </c>
      <c r="E9" s="3" t="s">
        <v>1494</v>
      </c>
      <c r="F9" s="3" t="s">
        <v>1938</v>
      </c>
      <c r="G9" s="4" t="s">
        <v>2113</v>
      </c>
      <c r="H9" s="6" t="s">
        <v>2114</v>
      </c>
      <c r="I9" s="4" t="s">
        <v>2115</v>
      </c>
      <c r="J9" s="7" t="s">
        <v>22</v>
      </c>
      <c r="K9" s="4" t="s">
        <v>37</v>
      </c>
      <c r="L9" s="4" t="s">
        <v>24</v>
      </c>
    </row>
    <row r="10" spans="1:12" ht="43.2" customHeight="1" x14ac:dyDescent="0.3">
      <c r="A10" s="3" t="s">
        <v>2116</v>
      </c>
      <c r="B10" s="4" t="s">
        <v>1690</v>
      </c>
      <c r="C10" s="4" t="s">
        <v>1691</v>
      </c>
      <c r="D10" s="5">
        <v>2025</v>
      </c>
      <c r="E10" s="3" t="s">
        <v>1494</v>
      </c>
      <c r="F10" s="3" t="s">
        <v>1938</v>
      </c>
      <c r="G10" s="4" t="s">
        <v>1692</v>
      </c>
      <c r="H10" s="6" t="s">
        <v>1693</v>
      </c>
      <c r="I10" s="4" t="s">
        <v>1694</v>
      </c>
      <c r="J10" s="7" t="s">
        <v>22</v>
      </c>
      <c r="K10" s="4" t="s">
        <v>80</v>
      </c>
      <c r="L10" s="4" t="s">
        <v>73</v>
      </c>
    </row>
    <row r="11" spans="1:12" ht="43.2" customHeight="1" x14ac:dyDescent="0.3">
      <c r="A11" s="3" t="s">
        <v>2117</v>
      </c>
      <c r="B11" s="4" t="s">
        <v>2118</v>
      </c>
      <c r="C11" s="4" t="s">
        <v>2119</v>
      </c>
      <c r="D11" s="5">
        <v>2026</v>
      </c>
      <c r="E11" s="3" t="s">
        <v>1494</v>
      </c>
      <c r="F11" s="3" t="s">
        <v>1938</v>
      </c>
      <c r="G11" s="4" t="s">
        <v>2120</v>
      </c>
      <c r="H11" s="6" t="s">
        <v>2121</v>
      </c>
      <c r="I11" s="4" t="s">
        <v>2122</v>
      </c>
      <c r="J11" s="7" t="s">
        <v>22</v>
      </c>
      <c r="K11" s="4" t="s">
        <v>134</v>
      </c>
      <c r="L11" s="4" t="s">
        <v>24</v>
      </c>
    </row>
    <row r="12" spans="1:12" ht="43.2" customHeight="1" x14ac:dyDescent="0.3">
      <c r="A12" s="3" t="s">
        <v>2123</v>
      </c>
      <c r="B12" s="4" t="s">
        <v>1975</v>
      </c>
      <c r="C12" s="4" t="s">
        <v>2124</v>
      </c>
      <c r="D12" s="5">
        <v>2025</v>
      </c>
      <c r="E12" s="3" t="s">
        <v>1494</v>
      </c>
      <c r="F12" s="3" t="s">
        <v>1938</v>
      </c>
      <c r="G12" s="4" t="s">
        <v>2125</v>
      </c>
      <c r="H12" s="6" t="s">
        <v>2126</v>
      </c>
      <c r="I12" s="4" t="s">
        <v>1978</v>
      </c>
      <c r="J12" s="7" t="s">
        <v>22</v>
      </c>
      <c r="K12" s="4" t="s">
        <v>66</v>
      </c>
      <c r="L12" s="4" t="s">
        <v>24</v>
      </c>
    </row>
    <row r="13" spans="1:12" ht="43.2" customHeight="1" x14ac:dyDescent="0.3">
      <c r="A13" s="3" t="s">
        <v>2127</v>
      </c>
      <c r="B13" s="4" t="s">
        <v>1998</v>
      </c>
      <c r="C13" s="4" t="s">
        <v>2128</v>
      </c>
      <c r="D13" s="5">
        <v>2025</v>
      </c>
      <c r="E13" s="3" t="s">
        <v>1494</v>
      </c>
      <c r="F13" s="3" t="s">
        <v>1938</v>
      </c>
      <c r="G13" s="4" t="s">
        <v>2000</v>
      </c>
      <c r="H13" s="6" t="s">
        <v>2129</v>
      </c>
      <c r="I13" s="4" t="s">
        <v>2002</v>
      </c>
      <c r="J13" s="7" t="s">
        <v>22</v>
      </c>
      <c r="K13" s="4" t="s">
        <v>37</v>
      </c>
      <c r="L13" s="4" t="s">
        <v>73</v>
      </c>
    </row>
    <row r="14" spans="1:12" ht="43.2" customHeight="1" x14ac:dyDescent="0.3">
      <c r="A14" s="3" t="s">
        <v>2130</v>
      </c>
      <c r="B14" s="4" t="s">
        <v>2131</v>
      </c>
      <c r="C14" s="4" t="s">
        <v>2132</v>
      </c>
      <c r="D14" s="5">
        <v>2025</v>
      </c>
      <c r="E14" s="3" t="s">
        <v>1494</v>
      </c>
      <c r="F14" s="3" t="s">
        <v>1938</v>
      </c>
      <c r="G14" s="4" t="s">
        <v>2133</v>
      </c>
      <c r="H14" s="6" t="s">
        <v>2134</v>
      </c>
      <c r="I14" s="4" t="s">
        <v>2135</v>
      </c>
      <c r="J14" s="7" t="s">
        <v>22</v>
      </c>
      <c r="K14" s="4" t="s">
        <v>127</v>
      </c>
      <c r="L14" s="4" t="s">
        <v>24</v>
      </c>
    </row>
    <row r="15" spans="1:12" ht="43.2" customHeight="1" x14ac:dyDescent="0.3">
      <c r="A15" s="3" t="s">
        <v>2136</v>
      </c>
      <c r="B15" s="4" t="s">
        <v>2137</v>
      </c>
      <c r="C15" s="4" t="s">
        <v>2138</v>
      </c>
      <c r="D15" s="5">
        <v>2025</v>
      </c>
      <c r="E15" s="3" t="s">
        <v>1494</v>
      </c>
      <c r="F15" s="3" t="s">
        <v>1938</v>
      </c>
      <c r="G15" s="4" t="s">
        <v>2139</v>
      </c>
      <c r="H15" s="6" t="s">
        <v>2140</v>
      </c>
      <c r="I15" s="4" t="s">
        <v>2141</v>
      </c>
      <c r="J15" s="7" t="s">
        <v>22</v>
      </c>
      <c r="K15" s="4" t="s">
        <v>37</v>
      </c>
      <c r="L15" s="4" t="s">
        <v>24</v>
      </c>
    </row>
    <row r="16" spans="1:12" ht="43.2" customHeight="1" x14ac:dyDescent="0.3">
      <c r="A16" s="3" t="s">
        <v>2142</v>
      </c>
      <c r="B16" s="4" t="s">
        <v>281</v>
      </c>
      <c r="C16" s="4" t="s">
        <v>2143</v>
      </c>
      <c r="D16" s="5">
        <v>2024</v>
      </c>
      <c r="E16" s="3" t="s">
        <v>1494</v>
      </c>
      <c r="F16" s="3" t="s">
        <v>1938</v>
      </c>
      <c r="G16" s="4" t="s">
        <v>283</v>
      </c>
      <c r="H16" s="6" t="s">
        <v>2144</v>
      </c>
      <c r="I16" s="4" t="s">
        <v>2145</v>
      </c>
      <c r="J16" s="7" t="s">
        <v>22</v>
      </c>
      <c r="K16" s="4" t="s">
        <v>286</v>
      </c>
      <c r="L16" s="4" t="s">
        <v>73</v>
      </c>
    </row>
    <row r="17" spans="1:12" ht="43.2" customHeight="1" x14ac:dyDescent="0.3">
      <c r="A17" s="3" t="s">
        <v>2146</v>
      </c>
      <c r="B17" s="4" t="s">
        <v>2147</v>
      </c>
      <c r="C17" s="4" t="s">
        <v>2148</v>
      </c>
      <c r="D17" s="5">
        <v>2025</v>
      </c>
      <c r="E17" s="3" t="s">
        <v>1494</v>
      </c>
      <c r="F17" s="3" t="s">
        <v>1938</v>
      </c>
      <c r="G17" s="4" t="s">
        <v>2149</v>
      </c>
      <c r="H17" s="6" t="s">
        <v>2150</v>
      </c>
      <c r="I17" s="4" t="s">
        <v>2151</v>
      </c>
      <c r="J17" s="7" t="s">
        <v>22</v>
      </c>
      <c r="K17" s="4" t="s">
        <v>127</v>
      </c>
      <c r="L17" s="4" t="s">
        <v>24</v>
      </c>
    </row>
    <row r="18" spans="1:12" ht="43.2" customHeight="1" x14ac:dyDescent="0.3">
      <c r="A18" s="3" t="s">
        <v>2152</v>
      </c>
      <c r="B18" s="4" t="s">
        <v>2153</v>
      </c>
      <c r="C18" s="4" t="s">
        <v>2154</v>
      </c>
      <c r="D18" s="5">
        <v>2025</v>
      </c>
      <c r="E18" s="3" t="s">
        <v>1494</v>
      </c>
      <c r="F18" s="3" t="s">
        <v>1938</v>
      </c>
      <c r="G18" s="4" t="s">
        <v>2155</v>
      </c>
      <c r="H18" s="6" t="s">
        <v>2156</v>
      </c>
      <c r="I18" s="4" t="s">
        <v>2157</v>
      </c>
      <c r="J18" s="8" t="s">
        <v>50</v>
      </c>
      <c r="K18" s="4" t="s">
        <v>451</v>
      </c>
      <c r="L18" s="4" t="s">
        <v>52</v>
      </c>
    </row>
    <row r="19" spans="1:12" ht="43.2" customHeight="1" x14ac:dyDescent="0.3">
      <c r="A19" s="3" t="s">
        <v>2158</v>
      </c>
      <c r="B19" s="4" t="s">
        <v>1963</v>
      </c>
      <c r="C19" s="4" t="s">
        <v>2159</v>
      </c>
      <c r="D19" s="5">
        <v>2025</v>
      </c>
      <c r="E19" s="3" t="s">
        <v>1494</v>
      </c>
      <c r="F19" s="3" t="s">
        <v>1938</v>
      </c>
      <c r="G19" s="4" t="s">
        <v>1965</v>
      </c>
      <c r="H19" s="6" t="s">
        <v>2160</v>
      </c>
      <c r="I19" s="4" t="s">
        <v>2161</v>
      </c>
      <c r="J19" s="7" t="s">
        <v>22</v>
      </c>
      <c r="K19" s="4" t="s">
        <v>37</v>
      </c>
      <c r="L19" s="4" t="s">
        <v>73</v>
      </c>
    </row>
    <row r="20" spans="1:12" ht="43.2" customHeight="1" x14ac:dyDescent="0.3">
      <c r="A20" s="3" t="s">
        <v>2162</v>
      </c>
      <c r="B20" s="4" t="s">
        <v>2163</v>
      </c>
      <c r="C20" s="4" t="s">
        <v>2164</v>
      </c>
      <c r="D20" s="5">
        <v>2025</v>
      </c>
      <c r="E20" s="3" t="s">
        <v>1494</v>
      </c>
      <c r="F20" s="3" t="s">
        <v>1938</v>
      </c>
      <c r="G20" s="4" t="s">
        <v>2165</v>
      </c>
      <c r="H20" s="6" t="s">
        <v>2166</v>
      </c>
      <c r="I20" s="4" t="s">
        <v>2167</v>
      </c>
      <c r="J20" s="7" t="s">
        <v>22</v>
      </c>
      <c r="K20" s="4" t="s">
        <v>286</v>
      </c>
      <c r="L20" s="4" t="s">
        <v>24</v>
      </c>
    </row>
    <row r="21" spans="1:12" ht="43.2" customHeight="1" x14ac:dyDescent="0.3">
      <c r="A21" s="3" t="s">
        <v>2168</v>
      </c>
      <c r="B21" s="4" t="s">
        <v>1827</v>
      </c>
      <c r="C21" s="4" t="s">
        <v>1828</v>
      </c>
      <c r="D21" s="5">
        <v>2026</v>
      </c>
      <c r="E21" s="3" t="s">
        <v>1494</v>
      </c>
      <c r="F21" s="3" t="s">
        <v>1938</v>
      </c>
      <c r="G21" s="4" t="s">
        <v>1829</v>
      </c>
      <c r="H21" s="6" t="s">
        <v>1830</v>
      </c>
      <c r="I21" s="4" t="s">
        <v>1831</v>
      </c>
      <c r="J21" s="7" t="s">
        <v>22</v>
      </c>
      <c r="K21" s="4" t="s">
        <v>1344</v>
      </c>
      <c r="L21" s="4" t="s">
        <v>73</v>
      </c>
    </row>
    <row r="22" spans="1:12" ht="43.2" customHeight="1" x14ac:dyDescent="0.3">
      <c r="A22" s="3" t="s">
        <v>2169</v>
      </c>
      <c r="B22" s="4" t="s">
        <v>2170</v>
      </c>
      <c r="C22" s="4" t="s">
        <v>2171</v>
      </c>
      <c r="D22" s="5">
        <v>2026</v>
      </c>
      <c r="E22" s="3" t="s">
        <v>1494</v>
      </c>
      <c r="F22" s="3" t="s">
        <v>1938</v>
      </c>
      <c r="G22" s="4" t="s">
        <v>2172</v>
      </c>
      <c r="H22" s="6" t="s">
        <v>2173</v>
      </c>
      <c r="I22" s="4" t="s">
        <v>2174</v>
      </c>
      <c r="J22" s="7" t="s">
        <v>22</v>
      </c>
      <c r="K22" s="4" t="s">
        <v>127</v>
      </c>
      <c r="L22" s="4" t="s">
        <v>24</v>
      </c>
    </row>
    <row r="23" spans="1:12" ht="43.2" customHeight="1" x14ac:dyDescent="0.3">
      <c r="A23" s="3" t="s">
        <v>2175</v>
      </c>
      <c r="B23" s="4" t="s">
        <v>2176</v>
      </c>
      <c r="C23" s="4" t="s">
        <v>2177</v>
      </c>
      <c r="D23" s="5">
        <v>2011</v>
      </c>
      <c r="E23" s="3" t="s">
        <v>1494</v>
      </c>
      <c r="F23" s="3" t="s">
        <v>1938</v>
      </c>
      <c r="G23" s="4" t="s">
        <v>207</v>
      </c>
      <c r="H23" s="4" t="s">
        <v>207</v>
      </c>
      <c r="I23" s="4" t="s">
        <v>2178</v>
      </c>
      <c r="J23" s="8" t="s">
        <v>50</v>
      </c>
      <c r="K23" s="4" t="s">
        <v>451</v>
      </c>
      <c r="L23" s="4" t="s">
        <v>52</v>
      </c>
    </row>
  </sheetData>
  <mergeCells count="2">
    <mergeCell ref="A2:L2"/>
    <mergeCell ref="A1:L1"/>
  </mergeCells>
  <pageMargins left="0.7" right="0.7" top="0.75" bottom="0.75" header="0.3" footer="0.3"/>
  <pageSetup paperSize="9" orientation="portrait"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40"/>
  <sheetViews>
    <sheetView workbookViewId="0">
      <selection sqref="A1:K1"/>
    </sheetView>
  </sheetViews>
  <sheetFormatPr defaultRowHeight="14.4" x14ac:dyDescent="0.3"/>
  <cols>
    <col min="1" max="1" width="14" customWidth="1"/>
    <col min="2" max="2" width="18" customWidth="1"/>
    <col min="3" max="3" width="14" customWidth="1"/>
    <col min="4" max="4" width="10" customWidth="1"/>
    <col min="5" max="5" width="24" customWidth="1"/>
    <col min="6" max="6" width="50" customWidth="1"/>
    <col min="7" max="7" width="44" customWidth="1"/>
    <col min="8" max="8" width="14" customWidth="1"/>
    <col min="9" max="9" width="12" customWidth="1"/>
    <col min="10" max="10" width="28" customWidth="1"/>
    <col min="11" max="11" width="22" customWidth="1"/>
  </cols>
  <sheetData>
    <row r="1" spans="1:11" ht="19.2" customHeight="1" x14ac:dyDescent="0.3">
      <c r="A1" s="31" t="s">
        <v>2179</v>
      </c>
      <c r="B1" s="30"/>
      <c r="C1" s="30"/>
      <c r="D1" s="30"/>
      <c r="E1" s="30"/>
      <c r="F1" s="30"/>
      <c r="G1" s="30"/>
      <c r="H1" s="30"/>
      <c r="I1" s="30"/>
      <c r="J1" s="30"/>
      <c r="K1" s="30"/>
    </row>
    <row r="2" spans="1:11" ht="28.8" customHeight="1" x14ac:dyDescent="0.3">
      <c r="A2" s="29" t="s">
        <v>2180</v>
      </c>
      <c r="B2" s="30"/>
      <c r="C2" s="30"/>
      <c r="D2" s="30"/>
      <c r="E2" s="30"/>
      <c r="F2" s="30"/>
      <c r="G2" s="30"/>
      <c r="H2" s="30"/>
      <c r="I2" s="30"/>
      <c r="J2" s="30"/>
      <c r="K2" s="30"/>
    </row>
    <row r="4" spans="1:11" x14ac:dyDescent="0.3">
      <c r="A4" s="2" t="s">
        <v>2181</v>
      </c>
      <c r="B4" s="2" t="s">
        <v>2182</v>
      </c>
      <c r="C4" s="2" t="s">
        <v>2183</v>
      </c>
      <c r="D4" s="2" t="s">
        <v>5</v>
      </c>
      <c r="E4" s="2" t="s">
        <v>8</v>
      </c>
      <c r="F4" s="2" t="s">
        <v>3</v>
      </c>
      <c r="G4" s="2" t="s">
        <v>2184</v>
      </c>
      <c r="H4" s="2" t="s">
        <v>2185</v>
      </c>
      <c r="I4" s="2" t="s">
        <v>2186</v>
      </c>
      <c r="J4" s="2" t="s">
        <v>2187</v>
      </c>
      <c r="K4" s="2" t="s">
        <v>2188</v>
      </c>
    </row>
    <row r="5" spans="1:11" ht="28.8" x14ac:dyDescent="0.3">
      <c r="A5" s="3" t="s">
        <v>14</v>
      </c>
      <c r="B5" s="3" t="s">
        <v>17</v>
      </c>
      <c r="C5" s="3" t="s">
        <v>18</v>
      </c>
      <c r="D5" s="3">
        <v>2023</v>
      </c>
      <c r="E5" s="9" t="s">
        <v>19</v>
      </c>
      <c r="F5" s="4" t="s">
        <v>15</v>
      </c>
      <c r="G5" s="9" t="s">
        <v>2189</v>
      </c>
      <c r="H5" s="3">
        <v>1</v>
      </c>
      <c r="I5" s="3" t="s">
        <v>22</v>
      </c>
      <c r="J5" s="4" t="s">
        <v>0</v>
      </c>
      <c r="K5" s="4" t="s">
        <v>23</v>
      </c>
    </row>
    <row r="6" spans="1:11" ht="28.8" x14ac:dyDescent="0.3">
      <c r="A6" s="3" t="s">
        <v>25</v>
      </c>
      <c r="B6" s="3" t="s">
        <v>17</v>
      </c>
      <c r="C6" s="3" t="s">
        <v>18</v>
      </c>
      <c r="D6" s="3">
        <v>2025</v>
      </c>
      <c r="E6" s="9" t="s">
        <v>28</v>
      </c>
      <c r="F6" s="4" t="s">
        <v>26</v>
      </c>
      <c r="G6" s="9" t="s">
        <v>2190</v>
      </c>
      <c r="H6" s="3">
        <v>1</v>
      </c>
      <c r="I6" s="3" t="s">
        <v>22</v>
      </c>
      <c r="J6" s="4" t="s">
        <v>0</v>
      </c>
      <c r="K6" s="4" t="s">
        <v>23</v>
      </c>
    </row>
    <row r="7" spans="1:11" ht="28.8" x14ac:dyDescent="0.3">
      <c r="A7" s="3" t="s">
        <v>31</v>
      </c>
      <c r="B7" s="3" t="s">
        <v>17</v>
      </c>
      <c r="C7" s="3" t="s">
        <v>18</v>
      </c>
      <c r="D7" s="3">
        <v>2025</v>
      </c>
      <c r="E7" s="9" t="s">
        <v>34</v>
      </c>
      <c r="F7" s="4" t="s">
        <v>32</v>
      </c>
      <c r="G7" s="9" t="s">
        <v>2191</v>
      </c>
      <c r="H7" s="3">
        <v>1</v>
      </c>
      <c r="I7" s="3" t="s">
        <v>22</v>
      </c>
      <c r="J7" s="4" t="s">
        <v>0</v>
      </c>
      <c r="K7" s="4" t="s">
        <v>37</v>
      </c>
    </row>
    <row r="8" spans="1:11" ht="28.8" x14ac:dyDescent="0.3">
      <c r="A8" s="3" t="s">
        <v>38</v>
      </c>
      <c r="B8" s="3" t="s">
        <v>17</v>
      </c>
      <c r="C8" s="3" t="s">
        <v>18</v>
      </c>
      <c r="D8" s="3">
        <v>2025</v>
      </c>
      <c r="E8" s="9" t="s">
        <v>41</v>
      </c>
      <c r="F8" s="4" t="s">
        <v>39</v>
      </c>
      <c r="G8" s="9" t="s">
        <v>2192</v>
      </c>
      <c r="H8" s="3">
        <v>1</v>
      </c>
      <c r="I8" s="3" t="s">
        <v>22</v>
      </c>
      <c r="J8" s="4" t="s">
        <v>0</v>
      </c>
      <c r="K8" s="4" t="s">
        <v>37</v>
      </c>
    </row>
    <row r="9" spans="1:11" ht="28.8" x14ac:dyDescent="0.3">
      <c r="A9" s="3" t="s">
        <v>44</v>
      </c>
      <c r="B9" s="3" t="s">
        <v>17</v>
      </c>
      <c r="C9" s="3" t="s">
        <v>18</v>
      </c>
      <c r="D9" s="3">
        <v>2003</v>
      </c>
      <c r="E9" s="9" t="s">
        <v>47</v>
      </c>
      <c r="F9" s="4" t="s">
        <v>45</v>
      </c>
      <c r="G9" s="9" t="s">
        <v>2193</v>
      </c>
      <c r="H9" s="3">
        <v>1</v>
      </c>
      <c r="I9" s="3" t="s">
        <v>50</v>
      </c>
      <c r="J9" s="4" t="s">
        <v>0</v>
      </c>
      <c r="K9" s="4" t="s">
        <v>51</v>
      </c>
    </row>
    <row r="10" spans="1:11" ht="28.8" x14ac:dyDescent="0.3">
      <c r="A10" s="3" t="s">
        <v>53</v>
      </c>
      <c r="B10" s="3" t="s">
        <v>17</v>
      </c>
      <c r="C10" s="3" t="s">
        <v>18</v>
      </c>
      <c r="D10" s="3">
        <v>2025</v>
      </c>
      <c r="E10" s="9" t="s">
        <v>56</v>
      </c>
      <c r="F10" s="4" t="s">
        <v>54</v>
      </c>
      <c r="G10" s="9" t="s">
        <v>2194</v>
      </c>
      <c r="H10" s="3">
        <v>1</v>
      </c>
      <c r="I10" s="3" t="s">
        <v>22</v>
      </c>
      <c r="J10" s="4" t="s">
        <v>0</v>
      </c>
      <c r="K10" s="4" t="s">
        <v>59</v>
      </c>
    </row>
    <row r="11" spans="1:11" ht="28.8" x14ac:dyDescent="0.3">
      <c r="A11" s="3" t="s">
        <v>60</v>
      </c>
      <c r="B11" s="3" t="s">
        <v>17</v>
      </c>
      <c r="C11" s="3" t="s">
        <v>18</v>
      </c>
      <c r="D11" s="3">
        <v>2025</v>
      </c>
      <c r="E11" s="9" t="s">
        <v>63</v>
      </c>
      <c r="F11" s="4" t="s">
        <v>61</v>
      </c>
      <c r="G11" s="9" t="s">
        <v>2195</v>
      </c>
      <c r="H11" s="3">
        <v>1</v>
      </c>
      <c r="I11" s="3" t="s">
        <v>50</v>
      </c>
      <c r="J11" s="4" t="s">
        <v>0</v>
      </c>
      <c r="K11" s="4" t="s">
        <v>66</v>
      </c>
    </row>
    <row r="12" spans="1:11" ht="43.2" x14ac:dyDescent="0.3">
      <c r="A12" s="3" t="s">
        <v>67</v>
      </c>
      <c r="B12" s="3" t="s">
        <v>17</v>
      </c>
      <c r="C12" s="3" t="s">
        <v>18</v>
      </c>
      <c r="D12" s="3">
        <v>2025</v>
      </c>
      <c r="E12" s="9" t="s">
        <v>70</v>
      </c>
      <c r="F12" s="4" t="s">
        <v>68</v>
      </c>
      <c r="G12" s="9" t="s">
        <v>2196</v>
      </c>
      <c r="H12" s="3">
        <v>1</v>
      </c>
      <c r="I12" s="3" t="s">
        <v>22</v>
      </c>
      <c r="J12" s="4" t="s">
        <v>0</v>
      </c>
      <c r="K12" s="4" t="s">
        <v>23</v>
      </c>
    </row>
    <row r="13" spans="1:11" ht="28.8" x14ac:dyDescent="0.3">
      <c r="A13" s="3" t="s">
        <v>74</v>
      </c>
      <c r="B13" s="3" t="s">
        <v>17</v>
      </c>
      <c r="C13" s="3" t="s">
        <v>18</v>
      </c>
      <c r="D13" s="3">
        <v>2025</v>
      </c>
      <c r="E13" s="9" t="s">
        <v>77</v>
      </c>
      <c r="F13" s="4" t="s">
        <v>75</v>
      </c>
      <c r="G13" s="9" t="s">
        <v>2197</v>
      </c>
      <c r="H13" s="3">
        <v>1</v>
      </c>
      <c r="I13" s="3" t="s">
        <v>50</v>
      </c>
      <c r="J13" s="4" t="s">
        <v>0</v>
      </c>
      <c r="K13" s="4" t="s">
        <v>80</v>
      </c>
    </row>
    <row r="14" spans="1:11" ht="28.8" x14ac:dyDescent="0.3">
      <c r="A14" s="3" t="s">
        <v>82</v>
      </c>
      <c r="B14" s="3" t="s">
        <v>17</v>
      </c>
      <c r="C14" s="3" t="s">
        <v>18</v>
      </c>
      <c r="D14" s="3">
        <v>2023</v>
      </c>
      <c r="E14" s="9" t="s">
        <v>85</v>
      </c>
      <c r="F14" s="4" t="s">
        <v>83</v>
      </c>
      <c r="G14" s="9" t="s">
        <v>2198</v>
      </c>
      <c r="H14" s="3">
        <v>1</v>
      </c>
      <c r="I14" s="3" t="s">
        <v>22</v>
      </c>
      <c r="J14" s="4" t="s">
        <v>0</v>
      </c>
      <c r="K14" s="4" t="s">
        <v>23</v>
      </c>
    </row>
    <row r="15" spans="1:11" ht="28.8" x14ac:dyDescent="0.3">
      <c r="A15" s="3" t="s">
        <v>88</v>
      </c>
      <c r="B15" s="3" t="s">
        <v>17</v>
      </c>
      <c r="C15" s="3" t="s">
        <v>18</v>
      </c>
      <c r="D15" s="3">
        <v>2016</v>
      </c>
      <c r="E15" s="9" t="s">
        <v>91</v>
      </c>
      <c r="F15" s="4" t="s">
        <v>89</v>
      </c>
      <c r="G15" s="9" t="s">
        <v>2199</v>
      </c>
      <c r="H15" s="3">
        <v>1</v>
      </c>
      <c r="I15" s="3" t="s">
        <v>50</v>
      </c>
      <c r="J15" s="4" t="s">
        <v>0</v>
      </c>
      <c r="K15" s="4" t="s">
        <v>94</v>
      </c>
    </row>
    <row r="16" spans="1:11" ht="28.8" x14ac:dyDescent="0.3">
      <c r="A16" s="3" t="s">
        <v>95</v>
      </c>
      <c r="B16" s="3" t="s">
        <v>17</v>
      </c>
      <c r="C16" s="3" t="s">
        <v>18</v>
      </c>
      <c r="D16" s="3">
        <v>2024</v>
      </c>
      <c r="E16" s="9" t="s">
        <v>98</v>
      </c>
      <c r="F16" s="4" t="s">
        <v>96</v>
      </c>
      <c r="G16" s="9" t="s">
        <v>2200</v>
      </c>
      <c r="H16" s="3">
        <v>1</v>
      </c>
      <c r="I16" s="3" t="s">
        <v>22</v>
      </c>
      <c r="J16" s="4" t="s">
        <v>0</v>
      </c>
      <c r="K16" s="4" t="s">
        <v>101</v>
      </c>
    </row>
    <row r="17" spans="1:11" ht="43.2" x14ac:dyDescent="0.3">
      <c r="A17" s="3" t="s">
        <v>102</v>
      </c>
      <c r="B17" s="3" t="s">
        <v>17</v>
      </c>
      <c r="C17" s="3" t="s">
        <v>18</v>
      </c>
      <c r="D17" s="3">
        <v>2025</v>
      </c>
      <c r="E17" s="9" t="s">
        <v>105</v>
      </c>
      <c r="F17" s="4" t="s">
        <v>103</v>
      </c>
      <c r="G17" s="9" t="s">
        <v>2201</v>
      </c>
      <c r="H17" s="3">
        <v>1</v>
      </c>
      <c r="I17" s="3" t="s">
        <v>22</v>
      </c>
      <c r="J17" s="4" t="s">
        <v>0</v>
      </c>
      <c r="K17" s="4" t="s">
        <v>80</v>
      </c>
    </row>
    <row r="18" spans="1:11" x14ac:dyDescent="0.3">
      <c r="A18" s="3" t="s">
        <v>108</v>
      </c>
      <c r="B18" s="3" t="s">
        <v>17</v>
      </c>
      <c r="C18" s="3" t="s">
        <v>18</v>
      </c>
      <c r="D18" s="3">
        <v>2011</v>
      </c>
      <c r="E18" s="9" t="s">
        <v>111</v>
      </c>
      <c r="F18" s="4" t="s">
        <v>109</v>
      </c>
      <c r="G18" s="9" t="s">
        <v>2202</v>
      </c>
      <c r="H18" s="3">
        <v>1</v>
      </c>
      <c r="I18" s="3" t="s">
        <v>50</v>
      </c>
      <c r="J18" s="4" t="s">
        <v>0</v>
      </c>
      <c r="K18" s="4" t="s">
        <v>66</v>
      </c>
    </row>
    <row r="19" spans="1:11" ht="43.2" x14ac:dyDescent="0.3">
      <c r="A19" s="3" t="s">
        <v>114</v>
      </c>
      <c r="B19" s="3" t="s">
        <v>17</v>
      </c>
      <c r="C19" s="3" t="s">
        <v>18</v>
      </c>
      <c r="D19" s="3">
        <v>2025</v>
      </c>
      <c r="E19" s="9" t="s">
        <v>117</v>
      </c>
      <c r="F19" s="4" t="s">
        <v>115</v>
      </c>
      <c r="G19" s="9" t="s">
        <v>2203</v>
      </c>
      <c r="H19" s="3">
        <v>1</v>
      </c>
      <c r="I19" s="3" t="s">
        <v>22</v>
      </c>
      <c r="J19" s="4" t="s">
        <v>0</v>
      </c>
      <c r="K19" s="4" t="s">
        <v>120</v>
      </c>
    </row>
    <row r="20" spans="1:11" ht="28.8" x14ac:dyDescent="0.3">
      <c r="A20" s="3" t="s">
        <v>121</v>
      </c>
      <c r="B20" s="3" t="s">
        <v>17</v>
      </c>
      <c r="C20" s="3" t="s">
        <v>18</v>
      </c>
      <c r="D20" s="3">
        <v>2015</v>
      </c>
      <c r="E20" s="9" t="s">
        <v>124</v>
      </c>
      <c r="F20" s="4" t="s">
        <v>122</v>
      </c>
      <c r="G20" s="9" t="s">
        <v>2204</v>
      </c>
      <c r="H20" s="3">
        <v>1</v>
      </c>
      <c r="I20" s="3" t="s">
        <v>50</v>
      </c>
      <c r="J20" s="4" t="s">
        <v>0</v>
      </c>
      <c r="K20" s="4" t="s">
        <v>127</v>
      </c>
    </row>
    <row r="21" spans="1:11" ht="28.8" x14ac:dyDescent="0.3">
      <c r="A21" s="3" t="s">
        <v>128</v>
      </c>
      <c r="B21" s="3" t="s">
        <v>17</v>
      </c>
      <c r="C21" s="3" t="s">
        <v>18</v>
      </c>
      <c r="D21" s="3">
        <v>2025</v>
      </c>
      <c r="E21" s="9" t="s">
        <v>131</v>
      </c>
      <c r="F21" s="4" t="s">
        <v>129</v>
      </c>
      <c r="G21" s="9" t="s">
        <v>2205</v>
      </c>
      <c r="H21" s="3">
        <v>1</v>
      </c>
      <c r="I21" s="3" t="s">
        <v>50</v>
      </c>
      <c r="J21" s="4" t="s">
        <v>0</v>
      </c>
      <c r="K21" s="4" t="s">
        <v>134</v>
      </c>
    </row>
    <row r="22" spans="1:11" ht="28.8" x14ac:dyDescent="0.3">
      <c r="A22" s="3" t="s">
        <v>135</v>
      </c>
      <c r="B22" s="3" t="s">
        <v>17</v>
      </c>
      <c r="C22" s="3" t="s">
        <v>18</v>
      </c>
      <c r="D22" s="3">
        <v>2024</v>
      </c>
      <c r="E22" s="9" t="s">
        <v>138</v>
      </c>
      <c r="F22" s="4" t="s">
        <v>136</v>
      </c>
      <c r="G22" s="9" t="s">
        <v>2206</v>
      </c>
      <c r="H22" s="3">
        <v>1</v>
      </c>
      <c r="I22" s="3" t="s">
        <v>22</v>
      </c>
      <c r="J22" s="4" t="s">
        <v>0</v>
      </c>
      <c r="K22" s="4" t="s">
        <v>141</v>
      </c>
    </row>
    <row r="23" spans="1:11" ht="28.8" x14ac:dyDescent="0.3">
      <c r="A23" s="3" t="s">
        <v>142</v>
      </c>
      <c r="B23" s="3" t="s">
        <v>17</v>
      </c>
      <c r="C23" s="3" t="s">
        <v>18</v>
      </c>
      <c r="D23" s="3">
        <v>2026</v>
      </c>
      <c r="E23" s="9" t="s">
        <v>145</v>
      </c>
      <c r="F23" s="4" t="s">
        <v>143</v>
      </c>
      <c r="G23" s="9" t="s">
        <v>2207</v>
      </c>
      <c r="H23" s="3">
        <v>1</v>
      </c>
      <c r="I23" s="3" t="s">
        <v>22</v>
      </c>
      <c r="J23" s="4" t="s">
        <v>0</v>
      </c>
      <c r="K23" s="4" t="s">
        <v>23</v>
      </c>
    </row>
    <row r="24" spans="1:11" x14ac:dyDescent="0.3">
      <c r="A24" s="3" t="s">
        <v>148</v>
      </c>
      <c r="B24" s="3" t="s">
        <v>17</v>
      </c>
      <c r="C24" s="3" t="s">
        <v>18</v>
      </c>
      <c r="D24" s="3">
        <v>2006</v>
      </c>
      <c r="E24" s="9" t="s">
        <v>151</v>
      </c>
      <c r="F24" s="4" t="s">
        <v>149</v>
      </c>
      <c r="G24" s="9" t="s">
        <v>2208</v>
      </c>
      <c r="H24" s="3">
        <v>1</v>
      </c>
      <c r="I24" s="3" t="s">
        <v>50</v>
      </c>
      <c r="J24" s="4" t="s">
        <v>0</v>
      </c>
      <c r="K24" s="4" t="s">
        <v>154</v>
      </c>
    </row>
    <row r="25" spans="1:11" ht="28.8" x14ac:dyDescent="0.3">
      <c r="A25" s="3" t="s">
        <v>155</v>
      </c>
      <c r="B25" s="3" t="s">
        <v>17</v>
      </c>
      <c r="C25" s="3" t="s">
        <v>18</v>
      </c>
      <c r="D25" s="3">
        <v>2025</v>
      </c>
      <c r="E25" s="9" t="s">
        <v>158</v>
      </c>
      <c r="F25" s="4" t="s">
        <v>156</v>
      </c>
      <c r="G25" s="9" t="s">
        <v>2209</v>
      </c>
      <c r="H25" s="3">
        <v>1</v>
      </c>
      <c r="I25" s="3" t="s">
        <v>50</v>
      </c>
      <c r="J25" s="4" t="s">
        <v>0</v>
      </c>
      <c r="K25" s="4" t="s">
        <v>161</v>
      </c>
    </row>
    <row r="26" spans="1:11" ht="28.8" x14ac:dyDescent="0.3">
      <c r="A26" s="3" t="s">
        <v>162</v>
      </c>
      <c r="B26" s="3" t="s">
        <v>17</v>
      </c>
      <c r="C26" s="3" t="s">
        <v>18</v>
      </c>
      <c r="D26" s="3">
        <v>2025</v>
      </c>
      <c r="E26" s="9" t="s">
        <v>165</v>
      </c>
      <c r="F26" s="4" t="s">
        <v>163</v>
      </c>
      <c r="G26" s="9" t="s">
        <v>2210</v>
      </c>
      <c r="H26" s="3">
        <v>1</v>
      </c>
      <c r="I26" s="3" t="s">
        <v>22</v>
      </c>
      <c r="J26" s="4" t="s">
        <v>0</v>
      </c>
      <c r="K26" s="4" t="s">
        <v>120</v>
      </c>
    </row>
    <row r="27" spans="1:11" ht="43.2" x14ac:dyDescent="0.3">
      <c r="A27" s="3" t="s">
        <v>168</v>
      </c>
      <c r="B27" s="3" t="s">
        <v>17</v>
      </c>
      <c r="C27" s="3" t="s">
        <v>18</v>
      </c>
      <c r="D27" s="3">
        <v>2025</v>
      </c>
      <c r="E27" s="9" t="s">
        <v>171</v>
      </c>
      <c r="F27" s="4" t="s">
        <v>169</v>
      </c>
      <c r="G27" s="9" t="s">
        <v>2211</v>
      </c>
      <c r="H27" s="3">
        <v>1</v>
      </c>
      <c r="I27" s="3" t="s">
        <v>22</v>
      </c>
      <c r="J27" s="4" t="s">
        <v>0</v>
      </c>
      <c r="K27" s="4" t="s">
        <v>37</v>
      </c>
    </row>
    <row r="28" spans="1:11" ht="28.8" x14ac:dyDescent="0.3">
      <c r="A28" s="3" t="s">
        <v>174</v>
      </c>
      <c r="B28" s="3" t="s">
        <v>17</v>
      </c>
      <c r="C28" s="3" t="s">
        <v>18</v>
      </c>
      <c r="D28" s="3">
        <v>2025</v>
      </c>
      <c r="E28" s="9" t="s">
        <v>177</v>
      </c>
      <c r="F28" s="4" t="s">
        <v>175</v>
      </c>
      <c r="G28" s="9" t="s">
        <v>2212</v>
      </c>
      <c r="H28" s="3">
        <v>1</v>
      </c>
      <c r="I28" s="3" t="s">
        <v>50</v>
      </c>
      <c r="J28" s="4" t="s">
        <v>0</v>
      </c>
      <c r="K28" s="4" t="s">
        <v>23</v>
      </c>
    </row>
    <row r="29" spans="1:11" ht="28.8" x14ac:dyDescent="0.3">
      <c r="A29" s="3" t="s">
        <v>180</v>
      </c>
      <c r="B29" s="3" t="s">
        <v>17</v>
      </c>
      <c r="C29" s="3" t="s">
        <v>18</v>
      </c>
      <c r="D29" s="3">
        <v>2023</v>
      </c>
      <c r="E29" s="9" t="s">
        <v>183</v>
      </c>
      <c r="F29" s="4" t="s">
        <v>181</v>
      </c>
      <c r="G29" s="9" t="s">
        <v>2213</v>
      </c>
      <c r="H29" s="3">
        <v>1</v>
      </c>
      <c r="I29" s="3" t="s">
        <v>50</v>
      </c>
      <c r="J29" s="4" t="s">
        <v>0</v>
      </c>
      <c r="K29" s="4" t="s">
        <v>51</v>
      </c>
    </row>
    <row r="30" spans="1:11" ht="28.8" x14ac:dyDescent="0.3">
      <c r="A30" s="3" t="s">
        <v>186</v>
      </c>
      <c r="B30" s="3" t="s">
        <v>17</v>
      </c>
      <c r="C30" s="3" t="s">
        <v>18</v>
      </c>
      <c r="D30" s="3">
        <v>2025</v>
      </c>
      <c r="E30" s="9" t="s">
        <v>189</v>
      </c>
      <c r="F30" s="4" t="s">
        <v>187</v>
      </c>
      <c r="G30" s="9" t="s">
        <v>2214</v>
      </c>
      <c r="H30" s="3">
        <v>1</v>
      </c>
      <c r="I30" s="3" t="s">
        <v>22</v>
      </c>
      <c r="J30" s="4" t="s">
        <v>0</v>
      </c>
      <c r="K30" s="4" t="s">
        <v>23</v>
      </c>
    </row>
    <row r="31" spans="1:11" ht="28.8" x14ac:dyDescent="0.3">
      <c r="A31" s="3" t="s">
        <v>192</v>
      </c>
      <c r="B31" s="3" t="s">
        <v>17</v>
      </c>
      <c r="C31" s="3" t="s">
        <v>18</v>
      </c>
      <c r="D31" s="3">
        <v>2025</v>
      </c>
      <c r="E31" s="9" t="s">
        <v>195</v>
      </c>
      <c r="F31" s="4" t="s">
        <v>193</v>
      </c>
      <c r="G31" s="9" t="s">
        <v>2215</v>
      </c>
      <c r="H31" s="3">
        <v>1</v>
      </c>
      <c r="I31" s="3" t="s">
        <v>22</v>
      </c>
      <c r="J31" s="4" t="s">
        <v>0</v>
      </c>
      <c r="K31" s="4" t="s">
        <v>161</v>
      </c>
    </row>
    <row r="32" spans="1:11" ht="28.8" x14ac:dyDescent="0.3">
      <c r="A32" s="3" t="s">
        <v>198</v>
      </c>
      <c r="B32" s="3" t="s">
        <v>17</v>
      </c>
      <c r="C32" s="3" t="s">
        <v>18</v>
      </c>
      <c r="D32" s="3">
        <v>2024</v>
      </c>
      <c r="E32" s="9" t="s">
        <v>201</v>
      </c>
      <c r="F32" s="4" t="s">
        <v>199</v>
      </c>
      <c r="G32" s="9" t="s">
        <v>2216</v>
      </c>
      <c r="H32" s="3">
        <v>1</v>
      </c>
      <c r="I32" s="3" t="s">
        <v>22</v>
      </c>
      <c r="J32" s="4" t="s">
        <v>0</v>
      </c>
      <c r="K32" s="4" t="s">
        <v>51</v>
      </c>
    </row>
    <row r="33" spans="1:11" ht="28.8" x14ac:dyDescent="0.3">
      <c r="A33" s="3" t="s">
        <v>204</v>
      </c>
      <c r="B33" s="3" t="s">
        <v>17</v>
      </c>
      <c r="C33" s="3" t="s">
        <v>18</v>
      </c>
      <c r="D33" s="3">
        <v>2016</v>
      </c>
      <c r="E33" s="9" t="s">
        <v>207</v>
      </c>
      <c r="F33" s="4" t="s">
        <v>205</v>
      </c>
      <c r="G33" s="9" t="s">
        <v>2217</v>
      </c>
      <c r="H33" s="3">
        <v>1</v>
      </c>
      <c r="I33" s="3" t="s">
        <v>50</v>
      </c>
      <c r="J33" s="4" t="s">
        <v>0</v>
      </c>
      <c r="K33" s="4" t="s">
        <v>210</v>
      </c>
    </row>
    <row r="34" spans="1:11" ht="28.8" x14ac:dyDescent="0.3">
      <c r="A34" s="3" t="s">
        <v>211</v>
      </c>
      <c r="B34" s="3" t="s">
        <v>17</v>
      </c>
      <c r="C34" s="3" t="s">
        <v>18</v>
      </c>
      <c r="D34" s="3">
        <v>2025</v>
      </c>
      <c r="E34" s="9" t="s">
        <v>214</v>
      </c>
      <c r="F34" s="4" t="s">
        <v>212</v>
      </c>
      <c r="G34" s="9" t="s">
        <v>2218</v>
      </c>
      <c r="H34" s="3">
        <v>1</v>
      </c>
      <c r="I34" s="3" t="s">
        <v>22</v>
      </c>
      <c r="J34" s="4" t="s">
        <v>0</v>
      </c>
      <c r="K34" s="4" t="s">
        <v>37</v>
      </c>
    </row>
    <row r="35" spans="1:11" ht="43.2" x14ac:dyDescent="0.3">
      <c r="A35" s="3" t="s">
        <v>217</v>
      </c>
      <c r="B35" s="3" t="s">
        <v>17</v>
      </c>
      <c r="C35" s="3" t="s">
        <v>18</v>
      </c>
      <c r="D35" s="3">
        <v>2025</v>
      </c>
      <c r="E35" s="9" t="s">
        <v>220</v>
      </c>
      <c r="F35" s="4" t="s">
        <v>218</v>
      </c>
      <c r="G35" s="9" t="s">
        <v>2219</v>
      </c>
      <c r="H35" s="3">
        <v>1</v>
      </c>
      <c r="I35" s="3" t="s">
        <v>22</v>
      </c>
      <c r="J35" s="4" t="s">
        <v>0</v>
      </c>
      <c r="K35" s="4" t="s">
        <v>37</v>
      </c>
    </row>
    <row r="36" spans="1:11" ht="28.8" x14ac:dyDescent="0.3">
      <c r="A36" s="3" t="s">
        <v>223</v>
      </c>
      <c r="B36" s="3" t="s">
        <v>17</v>
      </c>
      <c r="C36" s="3" t="s">
        <v>18</v>
      </c>
      <c r="D36" s="3">
        <v>2024</v>
      </c>
      <c r="E36" s="9" t="s">
        <v>226</v>
      </c>
      <c r="F36" s="4" t="s">
        <v>224</v>
      </c>
      <c r="G36" s="9" t="s">
        <v>2220</v>
      </c>
      <c r="H36" s="3">
        <v>1</v>
      </c>
      <c r="I36" s="3" t="s">
        <v>22</v>
      </c>
      <c r="J36" s="4" t="s">
        <v>0</v>
      </c>
      <c r="K36" s="4" t="s">
        <v>37</v>
      </c>
    </row>
    <row r="37" spans="1:11" ht="28.8" x14ac:dyDescent="0.3">
      <c r="A37" s="3" t="s">
        <v>229</v>
      </c>
      <c r="B37" s="3" t="s">
        <v>17</v>
      </c>
      <c r="C37" s="3" t="s">
        <v>18</v>
      </c>
      <c r="D37" s="3">
        <v>2025</v>
      </c>
      <c r="E37" s="9" t="s">
        <v>232</v>
      </c>
      <c r="F37" s="4" t="s">
        <v>230</v>
      </c>
      <c r="G37" s="9" t="s">
        <v>2221</v>
      </c>
      <c r="H37" s="3">
        <v>1</v>
      </c>
      <c r="I37" s="3" t="s">
        <v>22</v>
      </c>
      <c r="J37" s="4" t="s">
        <v>0</v>
      </c>
      <c r="K37" s="4" t="s">
        <v>235</v>
      </c>
    </row>
    <row r="38" spans="1:11" ht="28.8" x14ac:dyDescent="0.3">
      <c r="A38" s="3" t="s">
        <v>236</v>
      </c>
      <c r="B38" s="3" t="s">
        <v>17</v>
      </c>
      <c r="C38" s="3" t="s">
        <v>18</v>
      </c>
      <c r="D38" s="3">
        <v>2025</v>
      </c>
      <c r="E38" s="9" t="s">
        <v>239</v>
      </c>
      <c r="F38" s="4" t="s">
        <v>237</v>
      </c>
      <c r="G38" s="9" t="s">
        <v>2222</v>
      </c>
      <c r="H38" s="3">
        <v>1</v>
      </c>
      <c r="I38" s="3" t="s">
        <v>50</v>
      </c>
      <c r="J38" s="4" t="s">
        <v>0</v>
      </c>
      <c r="K38" s="4" t="s">
        <v>37</v>
      </c>
    </row>
    <row r="39" spans="1:11" ht="28.8" x14ac:dyDescent="0.3">
      <c r="A39" s="3" t="s">
        <v>242</v>
      </c>
      <c r="B39" s="3" t="s">
        <v>17</v>
      </c>
      <c r="C39" s="3" t="s">
        <v>18</v>
      </c>
      <c r="D39" s="3">
        <v>2025</v>
      </c>
      <c r="E39" s="9" t="s">
        <v>245</v>
      </c>
      <c r="F39" s="4" t="s">
        <v>243</v>
      </c>
      <c r="G39" s="9" t="s">
        <v>2223</v>
      </c>
      <c r="H39" s="3">
        <v>1</v>
      </c>
      <c r="I39" s="3" t="s">
        <v>50</v>
      </c>
      <c r="J39" s="4" t="s">
        <v>0</v>
      </c>
      <c r="K39" s="4" t="s">
        <v>23</v>
      </c>
    </row>
    <row r="40" spans="1:11" ht="28.8" x14ac:dyDescent="0.3">
      <c r="A40" s="3" t="s">
        <v>248</v>
      </c>
      <c r="B40" s="3" t="s">
        <v>17</v>
      </c>
      <c r="C40" s="3" t="s">
        <v>18</v>
      </c>
      <c r="D40" s="3">
        <v>2018</v>
      </c>
      <c r="E40" s="9" t="s">
        <v>251</v>
      </c>
      <c r="F40" s="4" t="s">
        <v>249</v>
      </c>
      <c r="G40" s="9" t="s">
        <v>2224</v>
      </c>
      <c r="H40" s="3">
        <v>1</v>
      </c>
      <c r="I40" s="3" t="s">
        <v>50</v>
      </c>
      <c r="J40" s="4" t="s">
        <v>0</v>
      </c>
      <c r="K40" s="4" t="s">
        <v>66</v>
      </c>
    </row>
    <row r="41" spans="1:11" ht="43.2" x14ac:dyDescent="0.3">
      <c r="A41" s="3" t="s">
        <v>254</v>
      </c>
      <c r="B41" s="3" t="s">
        <v>17</v>
      </c>
      <c r="C41" s="3" t="s">
        <v>18</v>
      </c>
      <c r="D41" s="3">
        <v>2025</v>
      </c>
      <c r="E41" s="9" t="s">
        <v>257</v>
      </c>
      <c r="F41" s="4" t="s">
        <v>255</v>
      </c>
      <c r="G41" s="9" t="s">
        <v>2225</v>
      </c>
      <c r="H41" s="3">
        <v>1</v>
      </c>
      <c r="I41" s="3" t="s">
        <v>22</v>
      </c>
      <c r="J41" s="4" t="s">
        <v>0</v>
      </c>
      <c r="K41" s="4" t="s">
        <v>260</v>
      </c>
    </row>
    <row r="42" spans="1:11" x14ac:dyDescent="0.3">
      <c r="A42" s="3" t="s">
        <v>261</v>
      </c>
      <c r="B42" s="3" t="s">
        <v>17</v>
      </c>
      <c r="C42" s="3" t="s">
        <v>18</v>
      </c>
      <c r="D42" s="3">
        <v>2025</v>
      </c>
      <c r="E42" s="9" t="s">
        <v>264</v>
      </c>
      <c r="F42" s="4" t="s">
        <v>262</v>
      </c>
      <c r="G42" s="9" t="s">
        <v>2226</v>
      </c>
      <c r="H42" s="3">
        <v>1</v>
      </c>
      <c r="I42" s="3" t="s">
        <v>50</v>
      </c>
      <c r="J42" s="4" t="s">
        <v>0</v>
      </c>
      <c r="K42" s="4" t="s">
        <v>141</v>
      </c>
    </row>
    <row r="43" spans="1:11" ht="43.2" x14ac:dyDescent="0.3">
      <c r="A43" s="3" t="s">
        <v>267</v>
      </c>
      <c r="B43" s="3" t="s">
        <v>17</v>
      </c>
      <c r="C43" s="3" t="s">
        <v>18</v>
      </c>
      <c r="D43" s="3">
        <v>2026</v>
      </c>
      <c r="E43" s="9" t="s">
        <v>270</v>
      </c>
      <c r="F43" s="4" t="s">
        <v>268</v>
      </c>
      <c r="G43" s="9" t="s">
        <v>2227</v>
      </c>
      <c r="H43" s="3">
        <v>1</v>
      </c>
      <c r="I43" s="3" t="s">
        <v>22</v>
      </c>
      <c r="J43" s="4" t="s">
        <v>0</v>
      </c>
      <c r="K43" s="4" t="s">
        <v>273</v>
      </c>
    </row>
    <row r="44" spans="1:11" ht="28.8" x14ac:dyDescent="0.3">
      <c r="A44" s="3" t="s">
        <v>274</v>
      </c>
      <c r="B44" s="3" t="s">
        <v>17</v>
      </c>
      <c r="C44" s="3" t="s">
        <v>18</v>
      </c>
      <c r="D44" s="3">
        <v>2025</v>
      </c>
      <c r="E44" s="9" t="s">
        <v>277</v>
      </c>
      <c r="F44" s="4" t="s">
        <v>275</v>
      </c>
      <c r="G44" s="9" t="s">
        <v>2228</v>
      </c>
      <c r="H44" s="3">
        <v>1</v>
      </c>
      <c r="I44" s="3" t="s">
        <v>22</v>
      </c>
      <c r="J44" s="4" t="s">
        <v>0</v>
      </c>
      <c r="K44" s="4" t="s">
        <v>23</v>
      </c>
    </row>
    <row r="45" spans="1:11" ht="43.2" x14ac:dyDescent="0.3">
      <c r="A45" s="3" t="s">
        <v>280</v>
      </c>
      <c r="B45" s="3" t="s">
        <v>17</v>
      </c>
      <c r="C45" s="3" t="s">
        <v>18</v>
      </c>
      <c r="D45" s="3">
        <v>2024</v>
      </c>
      <c r="E45" s="9" t="s">
        <v>283</v>
      </c>
      <c r="F45" s="4" t="s">
        <v>281</v>
      </c>
      <c r="G45" s="9" t="s">
        <v>2229</v>
      </c>
      <c r="H45" s="3">
        <v>1</v>
      </c>
      <c r="I45" s="3" t="s">
        <v>22</v>
      </c>
      <c r="J45" s="4" t="s">
        <v>0</v>
      </c>
      <c r="K45" s="4" t="s">
        <v>286</v>
      </c>
    </row>
    <row r="46" spans="1:11" ht="28.8" x14ac:dyDescent="0.3">
      <c r="A46" s="3" t="s">
        <v>287</v>
      </c>
      <c r="B46" s="3" t="s">
        <v>17</v>
      </c>
      <c r="C46" s="3" t="s">
        <v>18</v>
      </c>
      <c r="D46" s="3">
        <v>2008</v>
      </c>
      <c r="E46" s="9" t="s">
        <v>290</v>
      </c>
      <c r="F46" s="4" t="s">
        <v>288</v>
      </c>
      <c r="G46" s="9" t="s">
        <v>2230</v>
      </c>
      <c r="H46" s="3">
        <v>1</v>
      </c>
      <c r="I46" s="3" t="s">
        <v>50</v>
      </c>
      <c r="J46" s="4" t="s">
        <v>0</v>
      </c>
      <c r="K46" s="4" t="s">
        <v>260</v>
      </c>
    </row>
    <row r="47" spans="1:11" ht="28.8" x14ac:dyDescent="0.3">
      <c r="A47" s="3" t="s">
        <v>293</v>
      </c>
      <c r="B47" s="3" t="s">
        <v>17</v>
      </c>
      <c r="C47" s="3" t="s">
        <v>18</v>
      </c>
      <c r="D47" s="3">
        <v>2025</v>
      </c>
      <c r="E47" s="9" t="s">
        <v>296</v>
      </c>
      <c r="F47" s="4" t="s">
        <v>294</v>
      </c>
      <c r="G47" s="9" t="s">
        <v>2231</v>
      </c>
      <c r="H47" s="3">
        <v>1</v>
      </c>
      <c r="I47" s="3" t="s">
        <v>22</v>
      </c>
      <c r="J47" s="4" t="s">
        <v>0</v>
      </c>
      <c r="K47" s="4" t="s">
        <v>120</v>
      </c>
    </row>
    <row r="48" spans="1:11" ht="28.8" x14ac:dyDescent="0.3">
      <c r="A48" s="3" t="s">
        <v>299</v>
      </c>
      <c r="B48" s="3" t="s">
        <v>17</v>
      </c>
      <c r="C48" s="3" t="s">
        <v>18</v>
      </c>
      <c r="D48" s="3">
        <v>2025</v>
      </c>
      <c r="E48" s="9" t="s">
        <v>302</v>
      </c>
      <c r="F48" s="4" t="s">
        <v>300</v>
      </c>
      <c r="G48" s="9" t="s">
        <v>2232</v>
      </c>
      <c r="H48" s="3">
        <v>1</v>
      </c>
      <c r="I48" s="3" t="s">
        <v>22</v>
      </c>
      <c r="J48" s="4" t="s">
        <v>0</v>
      </c>
      <c r="K48" s="4" t="s">
        <v>66</v>
      </c>
    </row>
    <row r="49" spans="1:11" ht="28.8" x14ac:dyDescent="0.3">
      <c r="A49" s="3" t="s">
        <v>305</v>
      </c>
      <c r="B49" s="3" t="s">
        <v>17</v>
      </c>
      <c r="C49" s="3" t="s">
        <v>18</v>
      </c>
      <c r="D49" s="3">
        <v>2025</v>
      </c>
      <c r="E49" s="9" t="s">
        <v>308</v>
      </c>
      <c r="F49" s="4" t="s">
        <v>306</v>
      </c>
      <c r="G49" s="9" t="s">
        <v>2233</v>
      </c>
      <c r="H49" s="3">
        <v>1</v>
      </c>
      <c r="I49" s="3" t="s">
        <v>22</v>
      </c>
      <c r="J49" s="4" t="s">
        <v>0</v>
      </c>
      <c r="K49" s="4" t="s">
        <v>66</v>
      </c>
    </row>
    <row r="50" spans="1:11" ht="43.2" x14ac:dyDescent="0.3">
      <c r="A50" s="3" t="s">
        <v>311</v>
      </c>
      <c r="B50" s="3" t="s">
        <v>17</v>
      </c>
      <c r="C50" s="3" t="s">
        <v>18</v>
      </c>
      <c r="D50" s="3">
        <v>2010</v>
      </c>
      <c r="E50" s="9" t="s">
        <v>314</v>
      </c>
      <c r="F50" s="4" t="s">
        <v>312</v>
      </c>
      <c r="G50" s="9" t="s">
        <v>2234</v>
      </c>
      <c r="H50" s="3">
        <v>1</v>
      </c>
      <c r="I50" s="3" t="s">
        <v>50</v>
      </c>
      <c r="J50" s="4" t="s">
        <v>0</v>
      </c>
      <c r="K50" s="4" t="s">
        <v>134</v>
      </c>
    </row>
    <row r="51" spans="1:11" ht="28.8" x14ac:dyDescent="0.3">
      <c r="A51" s="3" t="s">
        <v>317</v>
      </c>
      <c r="B51" s="3" t="s">
        <v>17</v>
      </c>
      <c r="C51" s="3" t="s">
        <v>18</v>
      </c>
      <c r="D51" s="3">
        <v>2025</v>
      </c>
      <c r="E51" s="9" t="s">
        <v>320</v>
      </c>
      <c r="F51" s="4" t="s">
        <v>318</v>
      </c>
      <c r="G51" s="9" t="s">
        <v>2235</v>
      </c>
      <c r="H51" s="3">
        <v>1</v>
      </c>
      <c r="I51" s="3" t="s">
        <v>22</v>
      </c>
      <c r="J51" s="4" t="s">
        <v>0</v>
      </c>
      <c r="K51" s="4" t="s">
        <v>37</v>
      </c>
    </row>
    <row r="52" spans="1:11" x14ac:dyDescent="0.3">
      <c r="A52" s="3" t="s">
        <v>323</v>
      </c>
      <c r="B52" s="3" t="s">
        <v>17</v>
      </c>
      <c r="C52" s="3" t="s">
        <v>18</v>
      </c>
      <c r="D52" s="3">
        <v>2025</v>
      </c>
      <c r="E52" s="9" t="s">
        <v>326</v>
      </c>
      <c r="F52" s="4" t="s">
        <v>324</v>
      </c>
      <c r="G52" s="9" t="s">
        <v>2236</v>
      </c>
      <c r="H52" s="3">
        <v>1</v>
      </c>
      <c r="I52" s="3" t="s">
        <v>22</v>
      </c>
      <c r="J52" s="4" t="s">
        <v>0</v>
      </c>
      <c r="K52" s="4" t="s">
        <v>23</v>
      </c>
    </row>
    <row r="53" spans="1:11" ht="28.8" x14ac:dyDescent="0.3">
      <c r="A53" s="3" t="s">
        <v>329</v>
      </c>
      <c r="B53" s="3" t="s">
        <v>17</v>
      </c>
      <c r="C53" s="3" t="s">
        <v>18</v>
      </c>
      <c r="D53" s="3">
        <v>2024</v>
      </c>
      <c r="E53" s="9" t="s">
        <v>332</v>
      </c>
      <c r="F53" s="4" t="s">
        <v>330</v>
      </c>
      <c r="G53" s="9" t="s">
        <v>2237</v>
      </c>
      <c r="H53" s="3">
        <v>1</v>
      </c>
      <c r="I53" s="3" t="s">
        <v>22</v>
      </c>
      <c r="J53" s="4" t="s">
        <v>0</v>
      </c>
      <c r="K53" s="4" t="s">
        <v>23</v>
      </c>
    </row>
    <row r="54" spans="1:11" ht="28.8" x14ac:dyDescent="0.3">
      <c r="A54" s="3" t="s">
        <v>335</v>
      </c>
      <c r="B54" s="3" t="s">
        <v>17</v>
      </c>
      <c r="C54" s="3" t="s">
        <v>18</v>
      </c>
      <c r="D54" s="3">
        <v>2026</v>
      </c>
      <c r="E54" s="9" t="s">
        <v>338</v>
      </c>
      <c r="F54" s="4" t="s">
        <v>336</v>
      </c>
      <c r="G54" s="9" t="s">
        <v>2238</v>
      </c>
      <c r="H54" s="3">
        <v>1</v>
      </c>
      <c r="I54" s="3" t="s">
        <v>22</v>
      </c>
      <c r="J54" s="4" t="s">
        <v>0</v>
      </c>
      <c r="K54" s="4" t="s">
        <v>141</v>
      </c>
    </row>
    <row r="55" spans="1:11" ht="28.8" x14ac:dyDescent="0.3">
      <c r="A55" s="3" t="s">
        <v>341</v>
      </c>
      <c r="B55" s="3" t="s">
        <v>17</v>
      </c>
      <c r="C55" s="3" t="s">
        <v>18</v>
      </c>
      <c r="D55" s="3">
        <v>2025</v>
      </c>
      <c r="E55" s="9" t="s">
        <v>344</v>
      </c>
      <c r="F55" s="4" t="s">
        <v>342</v>
      </c>
      <c r="G55" s="9" t="s">
        <v>2239</v>
      </c>
      <c r="H55" s="3">
        <v>1</v>
      </c>
      <c r="I55" s="3" t="s">
        <v>50</v>
      </c>
      <c r="J55" s="4" t="s">
        <v>0</v>
      </c>
      <c r="K55" s="4" t="s">
        <v>134</v>
      </c>
    </row>
    <row r="56" spans="1:11" ht="28.8" x14ac:dyDescent="0.3">
      <c r="A56" s="3" t="s">
        <v>347</v>
      </c>
      <c r="B56" s="3" t="s">
        <v>17</v>
      </c>
      <c r="C56" s="3" t="s">
        <v>18</v>
      </c>
      <c r="D56" s="3">
        <v>2025</v>
      </c>
      <c r="E56" s="9" t="s">
        <v>350</v>
      </c>
      <c r="F56" s="4" t="s">
        <v>348</v>
      </c>
      <c r="G56" s="9" t="s">
        <v>2240</v>
      </c>
      <c r="H56" s="3">
        <v>1</v>
      </c>
      <c r="I56" s="3" t="s">
        <v>22</v>
      </c>
      <c r="J56" s="4" t="s">
        <v>0</v>
      </c>
      <c r="K56" s="4" t="s">
        <v>353</v>
      </c>
    </row>
    <row r="57" spans="1:11" ht="28.8" x14ac:dyDescent="0.3">
      <c r="A57" s="3" t="s">
        <v>354</v>
      </c>
      <c r="B57" s="3" t="s">
        <v>17</v>
      </c>
      <c r="C57" s="3" t="s">
        <v>18</v>
      </c>
      <c r="D57" s="3">
        <v>2025</v>
      </c>
      <c r="E57" s="9" t="s">
        <v>357</v>
      </c>
      <c r="F57" s="4" t="s">
        <v>355</v>
      </c>
      <c r="G57" s="9" t="s">
        <v>2241</v>
      </c>
      <c r="H57" s="3">
        <v>1</v>
      </c>
      <c r="I57" s="3" t="s">
        <v>50</v>
      </c>
      <c r="J57" s="4" t="s">
        <v>0</v>
      </c>
      <c r="K57" s="4" t="s">
        <v>101</v>
      </c>
    </row>
    <row r="58" spans="1:11" ht="28.8" x14ac:dyDescent="0.3">
      <c r="A58" s="3" t="s">
        <v>360</v>
      </c>
      <c r="B58" s="3" t="s">
        <v>17</v>
      </c>
      <c r="C58" s="3" t="s">
        <v>18</v>
      </c>
      <c r="D58" s="3">
        <v>2024</v>
      </c>
      <c r="E58" s="9" t="s">
        <v>363</v>
      </c>
      <c r="F58" s="4" t="s">
        <v>361</v>
      </c>
      <c r="G58" s="9" t="s">
        <v>2242</v>
      </c>
      <c r="H58" s="3">
        <v>1</v>
      </c>
      <c r="I58" s="3" t="s">
        <v>22</v>
      </c>
      <c r="J58" s="4" t="s">
        <v>0</v>
      </c>
      <c r="K58" s="4" t="s">
        <v>94</v>
      </c>
    </row>
    <row r="59" spans="1:11" ht="28.8" x14ac:dyDescent="0.3">
      <c r="A59" s="3" t="s">
        <v>366</v>
      </c>
      <c r="B59" s="3" t="s">
        <v>17</v>
      </c>
      <c r="C59" s="3" t="s">
        <v>18</v>
      </c>
      <c r="D59" s="3">
        <v>2025</v>
      </c>
      <c r="E59" s="9" t="s">
        <v>369</v>
      </c>
      <c r="F59" s="4" t="s">
        <v>367</v>
      </c>
      <c r="G59" s="9" t="s">
        <v>2243</v>
      </c>
      <c r="H59" s="3">
        <v>1</v>
      </c>
      <c r="I59" s="3" t="s">
        <v>22</v>
      </c>
      <c r="J59" s="4" t="s">
        <v>0</v>
      </c>
      <c r="K59" s="4" t="s">
        <v>161</v>
      </c>
    </row>
    <row r="60" spans="1:11" ht="28.8" x14ac:dyDescent="0.3">
      <c r="A60" s="3" t="s">
        <v>372</v>
      </c>
      <c r="B60" s="3" t="s">
        <v>17</v>
      </c>
      <c r="C60" s="3" t="s">
        <v>18</v>
      </c>
      <c r="D60" s="3">
        <v>2025</v>
      </c>
      <c r="E60" s="9" t="s">
        <v>375</v>
      </c>
      <c r="F60" s="4" t="s">
        <v>373</v>
      </c>
      <c r="G60" s="9" t="s">
        <v>2244</v>
      </c>
      <c r="H60" s="3">
        <v>1</v>
      </c>
      <c r="I60" s="3" t="s">
        <v>50</v>
      </c>
      <c r="J60" s="4" t="s">
        <v>0</v>
      </c>
      <c r="K60" s="4" t="s">
        <v>353</v>
      </c>
    </row>
    <row r="61" spans="1:11" ht="28.8" x14ac:dyDescent="0.3">
      <c r="A61" s="3" t="s">
        <v>378</v>
      </c>
      <c r="B61" s="3" t="s">
        <v>17</v>
      </c>
      <c r="C61" s="3" t="s">
        <v>18</v>
      </c>
      <c r="D61" s="3">
        <v>2025</v>
      </c>
      <c r="E61" s="9" t="s">
        <v>381</v>
      </c>
      <c r="F61" s="4" t="s">
        <v>379</v>
      </c>
      <c r="G61" s="9" t="s">
        <v>2245</v>
      </c>
      <c r="H61" s="3">
        <v>1</v>
      </c>
      <c r="I61" s="3" t="s">
        <v>22</v>
      </c>
      <c r="J61" s="4" t="s">
        <v>0</v>
      </c>
      <c r="K61" s="4" t="s">
        <v>23</v>
      </c>
    </row>
    <row r="62" spans="1:11" ht="28.8" x14ac:dyDescent="0.3">
      <c r="A62" s="3" t="s">
        <v>384</v>
      </c>
      <c r="B62" s="3" t="s">
        <v>17</v>
      </c>
      <c r="C62" s="3" t="s">
        <v>18</v>
      </c>
      <c r="D62" s="3">
        <v>2026</v>
      </c>
      <c r="E62" s="9" t="s">
        <v>387</v>
      </c>
      <c r="F62" s="4" t="s">
        <v>385</v>
      </c>
      <c r="G62" s="9" t="s">
        <v>2246</v>
      </c>
      <c r="H62" s="3">
        <v>1</v>
      </c>
      <c r="I62" s="3" t="s">
        <v>22</v>
      </c>
      <c r="J62" s="4" t="s">
        <v>0</v>
      </c>
      <c r="K62" s="4" t="s">
        <v>23</v>
      </c>
    </row>
    <row r="63" spans="1:11" ht="28.8" x14ac:dyDescent="0.3">
      <c r="A63" s="3" t="s">
        <v>390</v>
      </c>
      <c r="B63" s="3" t="s">
        <v>17</v>
      </c>
      <c r="C63" s="3" t="s">
        <v>18</v>
      </c>
      <c r="D63" s="3">
        <v>2025</v>
      </c>
      <c r="E63" s="9" t="s">
        <v>393</v>
      </c>
      <c r="F63" s="4" t="s">
        <v>391</v>
      </c>
      <c r="G63" s="9" t="s">
        <v>2247</v>
      </c>
      <c r="H63" s="3">
        <v>1</v>
      </c>
      <c r="I63" s="3" t="s">
        <v>22</v>
      </c>
      <c r="J63" s="4" t="s">
        <v>0</v>
      </c>
      <c r="K63" s="4" t="s">
        <v>37</v>
      </c>
    </row>
    <row r="64" spans="1:11" ht="28.8" x14ac:dyDescent="0.3">
      <c r="A64" s="3" t="s">
        <v>396</v>
      </c>
      <c r="B64" s="3" t="s">
        <v>17</v>
      </c>
      <c r="C64" s="3" t="s">
        <v>18</v>
      </c>
      <c r="D64" s="3">
        <v>2024</v>
      </c>
      <c r="E64" s="9" t="s">
        <v>399</v>
      </c>
      <c r="F64" s="4" t="s">
        <v>397</v>
      </c>
      <c r="G64" s="9" t="s">
        <v>2248</v>
      </c>
      <c r="H64" s="3">
        <v>1</v>
      </c>
      <c r="I64" s="3" t="s">
        <v>22</v>
      </c>
      <c r="J64" s="4" t="s">
        <v>0</v>
      </c>
      <c r="K64" s="4" t="s">
        <v>353</v>
      </c>
    </row>
    <row r="65" spans="1:11" ht="28.8" x14ac:dyDescent="0.3">
      <c r="A65" s="3" t="s">
        <v>402</v>
      </c>
      <c r="B65" s="3" t="s">
        <v>17</v>
      </c>
      <c r="C65" s="3" t="s">
        <v>18</v>
      </c>
      <c r="D65" s="3">
        <v>2025</v>
      </c>
      <c r="E65" s="9" t="s">
        <v>405</v>
      </c>
      <c r="F65" s="4" t="s">
        <v>403</v>
      </c>
      <c r="G65" s="9" t="s">
        <v>2249</v>
      </c>
      <c r="H65" s="3">
        <v>1</v>
      </c>
      <c r="I65" s="3" t="s">
        <v>50</v>
      </c>
      <c r="J65" s="4" t="s">
        <v>0</v>
      </c>
      <c r="K65" s="4" t="s">
        <v>120</v>
      </c>
    </row>
    <row r="66" spans="1:11" ht="28.8" x14ac:dyDescent="0.3">
      <c r="A66" s="3" t="s">
        <v>408</v>
      </c>
      <c r="B66" s="3" t="s">
        <v>17</v>
      </c>
      <c r="C66" s="3" t="s">
        <v>18</v>
      </c>
      <c r="D66" s="3">
        <v>2025</v>
      </c>
      <c r="E66" s="9" t="s">
        <v>411</v>
      </c>
      <c r="F66" s="4" t="s">
        <v>409</v>
      </c>
      <c r="G66" s="9" t="s">
        <v>2250</v>
      </c>
      <c r="H66" s="3">
        <v>1</v>
      </c>
      <c r="I66" s="3" t="s">
        <v>22</v>
      </c>
      <c r="J66" s="4" t="s">
        <v>0</v>
      </c>
      <c r="K66" s="4" t="s">
        <v>37</v>
      </c>
    </row>
    <row r="67" spans="1:11" x14ac:dyDescent="0.3">
      <c r="A67" s="3" t="s">
        <v>414</v>
      </c>
      <c r="B67" s="3" t="s">
        <v>17</v>
      </c>
      <c r="C67" s="3" t="s">
        <v>18</v>
      </c>
      <c r="D67" s="3">
        <v>2025</v>
      </c>
      <c r="E67" s="9" t="s">
        <v>417</v>
      </c>
      <c r="F67" s="4" t="s">
        <v>415</v>
      </c>
      <c r="G67" s="9" t="s">
        <v>2251</v>
      </c>
      <c r="H67" s="3">
        <v>1</v>
      </c>
      <c r="I67" s="3" t="s">
        <v>22</v>
      </c>
      <c r="J67" s="4" t="s">
        <v>0</v>
      </c>
      <c r="K67" s="4" t="s">
        <v>420</v>
      </c>
    </row>
    <row r="68" spans="1:11" ht="28.8" x14ac:dyDescent="0.3">
      <c r="A68" s="3" t="s">
        <v>421</v>
      </c>
      <c r="B68" s="3" t="s">
        <v>17</v>
      </c>
      <c r="C68" s="3" t="s">
        <v>18</v>
      </c>
      <c r="D68" s="3">
        <v>2025</v>
      </c>
      <c r="E68" s="9" t="s">
        <v>424</v>
      </c>
      <c r="F68" s="4" t="s">
        <v>422</v>
      </c>
      <c r="G68" s="9" t="s">
        <v>2252</v>
      </c>
      <c r="H68" s="3">
        <v>1</v>
      </c>
      <c r="I68" s="3" t="s">
        <v>22</v>
      </c>
      <c r="J68" s="4" t="s">
        <v>0</v>
      </c>
      <c r="K68" s="4" t="s">
        <v>353</v>
      </c>
    </row>
    <row r="69" spans="1:11" ht="28.8" x14ac:dyDescent="0.3">
      <c r="A69" s="3" t="s">
        <v>427</v>
      </c>
      <c r="B69" s="3" t="s">
        <v>17</v>
      </c>
      <c r="C69" s="3" t="s">
        <v>18</v>
      </c>
      <c r="D69" s="3">
        <v>2025</v>
      </c>
      <c r="E69" s="9" t="s">
        <v>430</v>
      </c>
      <c r="F69" s="4" t="s">
        <v>428</v>
      </c>
      <c r="G69" s="9" t="s">
        <v>2253</v>
      </c>
      <c r="H69" s="3">
        <v>1</v>
      </c>
      <c r="I69" s="3" t="s">
        <v>22</v>
      </c>
      <c r="J69" s="4" t="s">
        <v>0</v>
      </c>
      <c r="K69" s="4" t="s">
        <v>134</v>
      </c>
    </row>
    <row r="70" spans="1:11" ht="28.8" x14ac:dyDescent="0.3">
      <c r="A70" s="3" t="s">
        <v>433</v>
      </c>
      <c r="B70" s="3" t="s">
        <v>17</v>
      </c>
      <c r="C70" s="3" t="s">
        <v>18</v>
      </c>
      <c r="D70" s="3">
        <v>2024</v>
      </c>
      <c r="E70" s="9" t="s">
        <v>436</v>
      </c>
      <c r="F70" s="4" t="s">
        <v>434</v>
      </c>
      <c r="G70" s="9" t="s">
        <v>2254</v>
      </c>
      <c r="H70" s="3">
        <v>1</v>
      </c>
      <c r="I70" s="3" t="s">
        <v>22</v>
      </c>
      <c r="J70" s="4" t="s">
        <v>0</v>
      </c>
      <c r="K70" s="4" t="s">
        <v>260</v>
      </c>
    </row>
    <row r="71" spans="1:11" ht="28.8" x14ac:dyDescent="0.3">
      <c r="A71" s="3" t="s">
        <v>439</v>
      </c>
      <c r="B71" s="3" t="s">
        <v>17</v>
      </c>
      <c r="C71" s="3" t="s">
        <v>18</v>
      </c>
      <c r="D71" s="3">
        <v>2025</v>
      </c>
      <c r="E71" s="9" t="s">
        <v>442</v>
      </c>
      <c r="F71" s="4" t="s">
        <v>440</v>
      </c>
      <c r="G71" s="9" t="s">
        <v>2255</v>
      </c>
      <c r="H71" s="3">
        <v>1</v>
      </c>
      <c r="I71" s="3" t="s">
        <v>22</v>
      </c>
      <c r="J71" s="4" t="s">
        <v>0</v>
      </c>
      <c r="K71" s="4" t="s">
        <v>37</v>
      </c>
    </row>
    <row r="72" spans="1:11" ht="28.8" x14ac:dyDescent="0.3">
      <c r="A72" s="3" t="s">
        <v>445</v>
      </c>
      <c r="B72" s="3" t="s">
        <v>17</v>
      </c>
      <c r="C72" s="3" t="s">
        <v>18</v>
      </c>
      <c r="D72" s="3">
        <v>2010</v>
      </c>
      <c r="E72" s="9" t="s">
        <v>448</v>
      </c>
      <c r="F72" s="4" t="s">
        <v>446</v>
      </c>
      <c r="G72" s="9" t="s">
        <v>2256</v>
      </c>
      <c r="H72" s="3">
        <v>1</v>
      </c>
      <c r="I72" s="3" t="s">
        <v>50</v>
      </c>
      <c r="J72" s="4" t="s">
        <v>0</v>
      </c>
      <c r="K72" s="4" t="s">
        <v>451</v>
      </c>
    </row>
    <row r="73" spans="1:11" ht="28.8" x14ac:dyDescent="0.3">
      <c r="A73" s="3" t="s">
        <v>452</v>
      </c>
      <c r="B73" s="3" t="s">
        <v>17</v>
      </c>
      <c r="C73" s="3" t="s">
        <v>18</v>
      </c>
      <c r="D73" s="3">
        <v>2002</v>
      </c>
      <c r="E73" s="9" t="s">
        <v>455</v>
      </c>
      <c r="F73" s="4" t="s">
        <v>453</v>
      </c>
      <c r="G73" s="9" t="s">
        <v>2257</v>
      </c>
      <c r="H73" s="3">
        <v>1</v>
      </c>
      <c r="I73" s="3" t="s">
        <v>50</v>
      </c>
      <c r="J73" s="4" t="s">
        <v>0</v>
      </c>
      <c r="K73" s="4" t="s">
        <v>51</v>
      </c>
    </row>
    <row r="74" spans="1:11" ht="28.8" x14ac:dyDescent="0.3">
      <c r="A74" s="3" t="s">
        <v>458</v>
      </c>
      <c r="B74" s="3" t="s">
        <v>17</v>
      </c>
      <c r="C74" s="3" t="s">
        <v>18</v>
      </c>
      <c r="D74" s="3">
        <v>2024</v>
      </c>
      <c r="E74" s="9" t="s">
        <v>461</v>
      </c>
      <c r="F74" s="4" t="s">
        <v>459</v>
      </c>
      <c r="G74" s="9" t="s">
        <v>2258</v>
      </c>
      <c r="H74" s="3">
        <v>1</v>
      </c>
      <c r="I74" s="3" t="s">
        <v>22</v>
      </c>
      <c r="J74" s="4" t="s">
        <v>0</v>
      </c>
      <c r="K74" s="4" t="s">
        <v>51</v>
      </c>
    </row>
    <row r="75" spans="1:11" ht="28.8" x14ac:dyDescent="0.3">
      <c r="A75" s="3" t="s">
        <v>464</v>
      </c>
      <c r="B75" s="3" t="s">
        <v>17</v>
      </c>
      <c r="C75" s="3" t="s">
        <v>18</v>
      </c>
      <c r="D75" s="3">
        <v>2026</v>
      </c>
      <c r="E75" s="9" t="s">
        <v>467</v>
      </c>
      <c r="F75" s="4" t="s">
        <v>465</v>
      </c>
      <c r="G75" s="9" t="s">
        <v>2259</v>
      </c>
      <c r="H75" s="3">
        <v>1</v>
      </c>
      <c r="I75" s="3" t="s">
        <v>22</v>
      </c>
      <c r="J75" s="4" t="s">
        <v>0</v>
      </c>
      <c r="K75" s="4" t="s">
        <v>470</v>
      </c>
    </row>
    <row r="76" spans="1:11" ht="28.8" x14ac:dyDescent="0.3">
      <c r="A76" s="3" t="s">
        <v>471</v>
      </c>
      <c r="B76" s="3" t="s">
        <v>17</v>
      </c>
      <c r="C76" s="3" t="s">
        <v>18</v>
      </c>
      <c r="D76" s="3">
        <v>2025</v>
      </c>
      <c r="E76" s="9" t="s">
        <v>474</v>
      </c>
      <c r="F76" s="4" t="s">
        <v>472</v>
      </c>
      <c r="G76" s="9" t="s">
        <v>2260</v>
      </c>
      <c r="H76" s="3">
        <v>1</v>
      </c>
      <c r="I76" s="3" t="s">
        <v>22</v>
      </c>
      <c r="J76" s="4" t="s">
        <v>0</v>
      </c>
      <c r="K76" s="4" t="s">
        <v>37</v>
      </c>
    </row>
    <row r="77" spans="1:11" ht="28.8" x14ac:dyDescent="0.3">
      <c r="A77" s="3" t="s">
        <v>477</v>
      </c>
      <c r="B77" s="3" t="s">
        <v>17</v>
      </c>
      <c r="C77" s="3" t="s">
        <v>18</v>
      </c>
      <c r="D77" s="3">
        <v>2025</v>
      </c>
      <c r="E77" s="9" t="s">
        <v>480</v>
      </c>
      <c r="F77" s="4" t="s">
        <v>478</v>
      </c>
      <c r="G77" s="9" t="s">
        <v>2261</v>
      </c>
      <c r="H77" s="3">
        <v>1</v>
      </c>
      <c r="I77" s="3" t="s">
        <v>22</v>
      </c>
      <c r="J77" s="4" t="s">
        <v>0</v>
      </c>
      <c r="K77" s="4" t="s">
        <v>66</v>
      </c>
    </row>
    <row r="78" spans="1:11" ht="43.2" x14ac:dyDescent="0.3">
      <c r="A78" s="3" t="s">
        <v>483</v>
      </c>
      <c r="B78" s="3" t="s">
        <v>17</v>
      </c>
      <c r="C78" s="3" t="s">
        <v>18</v>
      </c>
      <c r="D78" s="3">
        <v>2025</v>
      </c>
      <c r="E78" s="9" t="s">
        <v>486</v>
      </c>
      <c r="F78" s="4" t="s">
        <v>484</v>
      </c>
      <c r="G78" s="9" t="s">
        <v>2262</v>
      </c>
      <c r="H78" s="3">
        <v>1</v>
      </c>
      <c r="I78" s="3" t="s">
        <v>22</v>
      </c>
      <c r="J78" s="4" t="s">
        <v>0</v>
      </c>
      <c r="K78" s="4" t="s">
        <v>353</v>
      </c>
    </row>
    <row r="79" spans="1:11" ht="28.8" x14ac:dyDescent="0.3">
      <c r="A79" s="3" t="s">
        <v>489</v>
      </c>
      <c r="B79" s="3" t="s">
        <v>17</v>
      </c>
      <c r="C79" s="3" t="s">
        <v>18</v>
      </c>
      <c r="D79" s="3">
        <v>2017</v>
      </c>
      <c r="E79" s="9" t="s">
        <v>492</v>
      </c>
      <c r="F79" s="4" t="s">
        <v>490</v>
      </c>
      <c r="G79" s="9" t="s">
        <v>2263</v>
      </c>
      <c r="H79" s="3">
        <v>1</v>
      </c>
      <c r="I79" s="3" t="s">
        <v>50</v>
      </c>
      <c r="J79" s="4" t="s">
        <v>0</v>
      </c>
      <c r="K79" s="4" t="s">
        <v>235</v>
      </c>
    </row>
    <row r="80" spans="1:11" ht="28.8" x14ac:dyDescent="0.3">
      <c r="A80" s="3" t="s">
        <v>495</v>
      </c>
      <c r="B80" s="3" t="s">
        <v>17</v>
      </c>
      <c r="C80" s="3" t="s">
        <v>18</v>
      </c>
      <c r="D80" s="3">
        <v>2024</v>
      </c>
      <c r="E80" s="9" t="s">
        <v>498</v>
      </c>
      <c r="F80" s="4" t="s">
        <v>496</v>
      </c>
      <c r="G80" s="9" t="s">
        <v>2264</v>
      </c>
      <c r="H80" s="3">
        <v>1</v>
      </c>
      <c r="I80" s="3" t="s">
        <v>22</v>
      </c>
      <c r="J80" s="4" t="s">
        <v>0</v>
      </c>
      <c r="K80" s="4" t="s">
        <v>120</v>
      </c>
    </row>
    <row r="81" spans="1:11" ht="43.2" x14ac:dyDescent="0.3">
      <c r="A81" s="3" t="s">
        <v>501</v>
      </c>
      <c r="B81" s="3" t="s">
        <v>17</v>
      </c>
      <c r="C81" s="3" t="s">
        <v>18</v>
      </c>
      <c r="D81" s="3">
        <v>2026</v>
      </c>
      <c r="E81" s="9" t="s">
        <v>504</v>
      </c>
      <c r="F81" s="4" t="s">
        <v>502</v>
      </c>
      <c r="G81" s="9" t="s">
        <v>2265</v>
      </c>
      <c r="H81" s="3">
        <v>1</v>
      </c>
      <c r="I81" s="3" t="s">
        <v>22</v>
      </c>
      <c r="J81" s="4" t="s">
        <v>0</v>
      </c>
      <c r="K81" s="4" t="s">
        <v>37</v>
      </c>
    </row>
    <row r="82" spans="1:11" x14ac:dyDescent="0.3">
      <c r="A82" s="3" t="s">
        <v>507</v>
      </c>
      <c r="B82" s="3" t="s">
        <v>17</v>
      </c>
      <c r="C82" s="3" t="s">
        <v>18</v>
      </c>
      <c r="D82" s="3">
        <v>2008</v>
      </c>
      <c r="E82" s="9" t="s">
        <v>510</v>
      </c>
      <c r="F82" s="4" t="s">
        <v>508</v>
      </c>
      <c r="G82" s="9" t="s">
        <v>2266</v>
      </c>
      <c r="H82" s="3">
        <v>1</v>
      </c>
      <c r="I82" s="3" t="s">
        <v>50</v>
      </c>
      <c r="J82" s="4" t="s">
        <v>0</v>
      </c>
      <c r="K82" s="4" t="s">
        <v>235</v>
      </c>
    </row>
    <row r="83" spans="1:11" ht="28.8" x14ac:dyDescent="0.3">
      <c r="A83" s="3" t="s">
        <v>513</v>
      </c>
      <c r="B83" s="3" t="s">
        <v>17</v>
      </c>
      <c r="C83" s="3" t="s">
        <v>18</v>
      </c>
      <c r="D83" s="3">
        <v>2018</v>
      </c>
      <c r="E83" s="9" t="s">
        <v>516</v>
      </c>
      <c r="F83" s="4" t="s">
        <v>514</v>
      </c>
      <c r="G83" s="9" t="s">
        <v>2267</v>
      </c>
      <c r="H83" s="3">
        <v>1</v>
      </c>
      <c r="I83" s="3" t="s">
        <v>50</v>
      </c>
      <c r="J83" s="4" t="s">
        <v>0</v>
      </c>
      <c r="K83" s="4" t="s">
        <v>37</v>
      </c>
    </row>
    <row r="84" spans="1:11" ht="28.8" x14ac:dyDescent="0.3">
      <c r="A84" s="3" t="s">
        <v>519</v>
      </c>
      <c r="B84" s="3" t="s">
        <v>17</v>
      </c>
      <c r="C84" s="3" t="s">
        <v>18</v>
      </c>
      <c r="D84" s="3">
        <v>2025</v>
      </c>
      <c r="E84" s="9" t="s">
        <v>522</v>
      </c>
      <c r="F84" s="4" t="s">
        <v>520</v>
      </c>
      <c r="G84" s="9" t="s">
        <v>2268</v>
      </c>
      <c r="H84" s="3">
        <v>1</v>
      </c>
      <c r="I84" s="3" t="s">
        <v>22</v>
      </c>
      <c r="J84" s="4" t="s">
        <v>0</v>
      </c>
      <c r="K84" s="4" t="s">
        <v>37</v>
      </c>
    </row>
    <row r="85" spans="1:11" ht="28.8" x14ac:dyDescent="0.3">
      <c r="A85" s="3" t="s">
        <v>525</v>
      </c>
      <c r="B85" s="3" t="s">
        <v>17</v>
      </c>
      <c r="C85" s="3" t="s">
        <v>18</v>
      </c>
      <c r="D85" s="3">
        <v>2025</v>
      </c>
      <c r="E85" s="9" t="s">
        <v>528</v>
      </c>
      <c r="F85" s="4" t="s">
        <v>526</v>
      </c>
      <c r="G85" s="9" t="s">
        <v>2269</v>
      </c>
      <c r="H85" s="3">
        <v>1</v>
      </c>
      <c r="I85" s="3" t="s">
        <v>22</v>
      </c>
      <c r="J85" s="4" t="s">
        <v>0</v>
      </c>
      <c r="K85" s="4" t="s">
        <v>141</v>
      </c>
    </row>
    <row r="86" spans="1:11" ht="28.8" x14ac:dyDescent="0.3">
      <c r="A86" s="3" t="s">
        <v>531</v>
      </c>
      <c r="B86" s="3" t="s">
        <v>17</v>
      </c>
      <c r="C86" s="3" t="s">
        <v>18</v>
      </c>
      <c r="D86" s="3">
        <v>2010</v>
      </c>
      <c r="E86" s="9" t="s">
        <v>534</v>
      </c>
      <c r="F86" s="4" t="s">
        <v>532</v>
      </c>
      <c r="G86" s="9" t="s">
        <v>2270</v>
      </c>
      <c r="H86" s="3">
        <v>1</v>
      </c>
      <c r="I86" s="3" t="s">
        <v>50</v>
      </c>
      <c r="J86" s="4" t="s">
        <v>0</v>
      </c>
      <c r="K86" s="4" t="s">
        <v>260</v>
      </c>
    </row>
    <row r="87" spans="1:11" x14ac:dyDescent="0.3">
      <c r="A87" s="3" t="s">
        <v>537</v>
      </c>
      <c r="B87" s="3" t="s">
        <v>17</v>
      </c>
      <c r="C87" s="3" t="s">
        <v>18</v>
      </c>
      <c r="D87" s="3">
        <v>2007</v>
      </c>
      <c r="E87" s="9" t="s">
        <v>540</v>
      </c>
      <c r="F87" s="4" t="s">
        <v>538</v>
      </c>
      <c r="G87" s="9" t="s">
        <v>2271</v>
      </c>
      <c r="H87" s="3">
        <v>1</v>
      </c>
      <c r="I87" s="3" t="s">
        <v>50</v>
      </c>
      <c r="J87" s="4" t="s">
        <v>0</v>
      </c>
      <c r="K87" s="4" t="s">
        <v>451</v>
      </c>
    </row>
    <row r="88" spans="1:11" ht="28.8" x14ac:dyDescent="0.3">
      <c r="A88" s="3" t="s">
        <v>543</v>
      </c>
      <c r="B88" s="3" t="s">
        <v>17</v>
      </c>
      <c r="C88" s="3" t="s">
        <v>18</v>
      </c>
      <c r="D88" s="3">
        <v>2026</v>
      </c>
      <c r="E88" s="9" t="s">
        <v>546</v>
      </c>
      <c r="F88" s="4" t="s">
        <v>544</v>
      </c>
      <c r="G88" s="9" t="s">
        <v>2272</v>
      </c>
      <c r="H88" s="3">
        <v>1</v>
      </c>
      <c r="I88" s="3" t="s">
        <v>22</v>
      </c>
      <c r="J88" s="4" t="s">
        <v>0</v>
      </c>
      <c r="K88" s="4" t="s">
        <v>23</v>
      </c>
    </row>
    <row r="89" spans="1:11" ht="28.8" x14ac:dyDescent="0.3">
      <c r="A89" s="3" t="s">
        <v>549</v>
      </c>
      <c r="B89" s="3" t="s">
        <v>17</v>
      </c>
      <c r="C89" s="3" t="s">
        <v>18</v>
      </c>
      <c r="D89" s="3">
        <v>2015</v>
      </c>
      <c r="E89" s="9" t="s">
        <v>552</v>
      </c>
      <c r="F89" s="4" t="s">
        <v>550</v>
      </c>
      <c r="G89" s="9" t="s">
        <v>2273</v>
      </c>
      <c r="H89" s="3">
        <v>1</v>
      </c>
      <c r="I89" s="3" t="s">
        <v>50</v>
      </c>
      <c r="J89" s="4" t="s">
        <v>0</v>
      </c>
      <c r="K89" s="4" t="s">
        <v>451</v>
      </c>
    </row>
    <row r="90" spans="1:11" ht="43.2" x14ac:dyDescent="0.3">
      <c r="A90" s="3" t="s">
        <v>555</v>
      </c>
      <c r="B90" s="3" t="s">
        <v>17</v>
      </c>
      <c r="C90" s="3" t="s">
        <v>18</v>
      </c>
      <c r="D90" s="3">
        <v>2025</v>
      </c>
      <c r="E90" s="9" t="s">
        <v>558</v>
      </c>
      <c r="F90" s="4" t="s">
        <v>556</v>
      </c>
      <c r="G90" s="9" t="s">
        <v>2274</v>
      </c>
      <c r="H90" s="3">
        <v>1</v>
      </c>
      <c r="I90" s="3" t="s">
        <v>22</v>
      </c>
      <c r="J90" s="4" t="s">
        <v>0</v>
      </c>
      <c r="K90" s="4" t="s">
        <v>37</v>
      </c>
    </row>
    <row r="91" spans="1:11" ht="28.8" x14ac:dyDescent="0.3">
      <c r="A91" s="3" t="s">
        <v>561</v>
      </c>
      <c r="B91" s="3" t="s">
        <v>17</v>
      </c>
      <c r="C91" s="3" t="s">
        <v>18</v>
      </c>
      <c r="D91" s="3">
        <v>2025</v>
      </c>
      <c r="E91" s="9" t="s">
        <v>564</v>
      </c>
      <c r="F91" s="4" t="s">
        <v>562</v>
      </c>
      <c r="G91" s="9" t="s">
        <v>2275</v>
      </c>
      <c r="H91" s="3">
        <v>1</v>
      </c>
      <c r="I91" s="3" t="s">
        <v>22</v>
      </c>
      <c r="J91" s="4" t="s">
        <v>0</v>
      </c>
      <c r="K91" s="4" t="s">
        <v>23</v>
      </c>
    </row>
    <row r="92" spans="1:11" ht="28.8" x14ac:dyDescent="0.3">
      <c r="A92" s="3" t="s">
        <v>567</v>
      </c>
      <c r="B92" s="3" t="s">
        <v>17</v>
      </c>
      <c r="C92" s="3" t="s">
        <v>18</v>
      </c>
      <c r="D92" s="3">
        <v>2024</v>
      </c>
      <c r="E92" s="9" t="s">
        <v>570</v>
      </c>
      <c r="F92" s="4" t="s">
        <v>568</v>
      </c>
      <c r="G92" s="9" t="s">
        <v>2276</v>
      </c>
      <c r="H92" s="3">
        <v>1</v>
      </c>
      <c r="I92" s="3" t="s">
        <v>22</v>
      </c>
      <c r="J92" s="4" t="s">
        <v>0</v>
      </c>
      <c r="K92" s="4" t="s">
        <v>353</v>
      </c>
    </row>
    <row r="93" spans="1:11" ht="28.8" x14ac:dyDescent="0.3">
      <c r="A93" s="3" t="s">
        <v>573</v>
      </c>
      <c r="B93" s="3" t="s">
        <v>17</v>
      </c>
      <c r="C93" s="3" t="s">
        <v>18</v>
      </c>
      <c r="D93" s="3">
        <v>2025</v>
      </c>
      <c r="E93" s="9" t="s">
        <v>576</v>
      </c>
      <c r="F93" s="4" t="s">
        <v>574</v>
      </c>
      <c r="G93" s="9" t="s">
        <v>2277</v>
      </c>
      <c r="H93" s="3">
        <v>1</v>
      </c>
      <c r="I93" s="3" t="s">
        <v>22</v>
      </c>
      <c r="J93" s="4" t="s">
        <v>0</v>
      </c>
      <c r="K93" s="4" t="s">
        <v>579</v>
      </c>
    </row>
    <row r="94" spans="1:11" x14ac:dyDescent="0.3">
      <c r="A94" s="3" t="s">
        <v>580</v>
      </c>
      <c r="B94" s="3" t="s">
        <v>17</v>
      </c>
      <c r="C94" s="3" t="s">
        <v>18</v>
      </c>
      <c r="D94" s="3">
        <v>2025</v>
      </c>
      <c r="E94" s="9" t="s">
        <v>583</v>
      </c>
      <c r="F94" s="4" t="s">
        <v>581</v>
      </c>
      <c r="G94" s="9" t="s">
        <v>2278</v>
      </c>
      <c r="H94" s="3">
        <v>1</v>
      </c>
      <c r="I94" s="3" t="s">
        <v>22</v>
      </c>
      <c r="J94" s="4" t="s">
        <v>0</v>
      </c>
      <c r="K94" s="4" t="s">
        <v>286</v>
      </c>
    </row>
    <row r="95" spans="1:11" ht="43.2" x14ac:dyDescent="0.3">
      <c r="A95" s="3" t="s">
        <v>586</v>
      </c>
      <c r="B95" s="3" t="s">
        <v>17</v>
      </c>
      <c r="C95" s="3" t="s">
        <v>18</v>
      </c>
      <c r="D95" s="3">
        <v>2024</v>
      </c>
      <c r="E95" s="9" t="s">
        <v>589</v>
      </c>
      <c r="F95" s="4" t="s">
        <v>587</v>
      </c>
      <c r="G95" s="9" t="s">
        <v>2279</v>
      </c>
      <c r="H95" s="3">
        <v>1</v>
      </c>
      <c r="I95" s="3" t="s">
        <v>22</v>
      </c>
      <c r="J95" s="4" t="s">
        <v>0</v>
      </c>
      <c r="K95" s="4" t="s">
        <v>37</v>
      </c>
    </row>
    <row r="96" spans="1:11" ht="28.8" x14ac:dyDescent="0.3">
      <c r="A96" s="3" t="s">
        <v>592</v>
      </c>
      <c r="B96" s="3" t="s">
        <v>17</v>
      </c>
      <c r="C96" s="3" t="s">
        <v>18</v>
      </c>
      <c r="D96" s="3">
        <v>2025</v>
      </c>
      <c r="E96" s="9" t="s">
        <v>595</v>
      </c>
      <c r="F96" s="4" t="s">
        <v>593</v>
      </c>
      <c r="G96" s="9" t="s">
        <v>2280</v>
      </c>
      <c r="H96" s="3">
        <v>1</v>
      </c>
      <c r="I96" s="3" t="s">
        <v>50</v>
      </c>
      <c r="J96" s="4" t="s">
        <v>0</v>
      </c>
      <c r="K96" s="4" t="s">
        <v>127</v>
      </c>
    </row>
    <row r="97" spans="1:11" x14ac:dyDescent="0.3">
      <c r="A97" s="3" t="s">
        <v>598</v>
      </c>
      <c r="B97" s="3" t="s">
        <v>17</v>
      </c>
      <c r="C97" s="3" t="s">
        <v>18</v>
      </c>
      <c r="D97" s="3">
        <v>2008</v>
      </c>
      <c r="E97" s="9" t="s">
        <v>601</v>
      </c>
      <c r="F97" s="4" t="s">
        <v>599</v>
      </c>
      <c r="G97" s="9" t="s">
        <v>2281</v>
      </c>
      <c r="H97" s="3">
        <v>1</v>
      </c>
      <c r="I97" s="3" t="s">
        <v>50</v>
      </c>
      <c r="J97" s="4" t="s">
        <v>0</v>
      </c>
      <c r="K97" s="4" t="s">
        <v>127</v>
      </c>
    </row>
    <row r="98" spans="1:11" ht="28.8" x14ac:dyDescent="0.3">
      <c r="A98" s="3" t="s">
        <v>604</v>
      </c>
      <c r="B98" s="3" t="s">
        <v>17</v>
      </c>
      <c r="C98" s="3" t="s">
        <v>18</v>
      </c>
      <c r="D98" s="3">
        <v>2022</v>
      </c>
      <c r="E98" s="9" t="s">
        <v>607</v>
      </c>
      <c r="F98" s="4" t="s">
        <v>605</v>
      </c>
      <c r="G98" s="9" t="s">
        <v>2282</v>
      </c>
      <c r="H98" s="3">
        <v>1</v>
      </c>
      <c r="I98" s="3" t="s">
        <v>50</v>
      </c>
      <c r="J98" s="4" t="s">
        <v>0</v>
      </c>
      <c r="K98" s="4" t="s">
        <v>66</v>
      </c>
    </row>
    <row r="99" spans="1:11" ht="28.8" x14ac:dyDescent="0.3">
      <c r="A99" s="3" t="s">
        <v>610</v>
      </c>
      <c r="B99" s="3" t="s">
        <v>17</v>
      </c>
      <c r="C99" s="3" t="s">
        <v>18</v>
      </c>
      <c r="D99" s="3">
        <v>2025</v>
      </c>
      <c r="E99" s="9" t="s">
        <v>613</v>
      </c>
      <c r="F99" s="4" t="s">
        <v>611</v>
      </c>
      <c r="G99" s="9" t="s">
        <v>2283</v>
      </c>
      <c r="H99" s="3">
        <v>1</v>
      </c>
      <c r="I99" s="3" t="s">
        <v>22</v>
      </c>
      <c r="J99" s="4" t="s">
        <v>0</v>
      </c>
      <c r="K99" s="4" t="s">
        <v>616</v>
      </c>
    </row>
    <row r="100" spans="1:11" ht="28.8" x14ac:dyDescent="0.3">
      <c r="A100" s="3" t="s">
        <v>617</v>
      </c>
      <c r="B100" s="3" t="s">
        <v>17</v>
      </c>
      <c r="C100" s="3" t="s">
        <v>18</v>
      </c>
      <c r="D100" s="3">
        <v>2025</v>
      </c>
      <c r="E100" s="9" t="s">
        <v>620</v>
      </c>
      <c r="F100" s="4" t="s">
        <v>618</v>
      </c>
      <c r="G100" s="9" t="s">
        <v>2284</v>
      </c>
      <c r="H100" s="3">
        <v>1</v>
      </c>
      <c r="I100" s="3" t="s">
        <v>22</v>
      </c>
      <c r="J100" s="4" t="s">
        <v>0</v>
      </c>
      <c r="K100" s="4" t="s">
        <v>66</v>
      </c>
    </row>
    <row r="101" spans="1:11" ht="28.8" x14ac:dyDescent="0.3">
      <c r="A101" s="3" t="s">
        <v>623</v>
      </c>
      <c r="B101" s="3" t="s">
        <v>17</v>
      </c>
      <c r="C101" s="3" t="s">
        <v>18</v>
      </c>
      <c r="D101" s="3">
        <v>2025</v>
      </c>
      <c r="E101" s="9" t="s">
        <v>626</v>
      </c>
      <c r="F101" s="4" t="s">
        <v>624</v>
      </c>
      <c r="G101" s="9" t="s">
        <v>2285</v>
      </c>
      <c r="H101" s="3">
        <v>1</v>
      </c>
      <c r="I101" s="3" t="s">
        <v>22</v>
      </c>
      <c r="J101" s="4" t="s">
        <v>0</v>
      </c>
      <c r="K101" s="4" t="s">
        <v>141</v>
      </c>
    </row>
    <row r="102" spans="1:11" ht="28.8" x14ac:dyDescent="0.3">
      <c r="A102" s="3" t="s">
        <v>629</v>
      </c>
      <c r="B102" s="3" t="s">
        <v>17</v>
      </c>
      <c r="C102" s="3" t="s">
        <v>18</v>
      </c>
      <c r="D102" s="3">
        <v>2025</v>
      </c>
      <c r="E102" s="9" t="s">
        <v>632</v>
      </c>
      <c r="F102" s="4" t="s">
        <v>630</v>
      </c>
      <c r="G102" s="9" t="s">
        <v>2286</v>
      </c>
      <c r="H102" s="3">
        <v>1</v>
      </c>
      <c r="I102" s="3" t="s">
        <v>22</v>
      </c>
      <c r="J102" s="4" t="s">
        <v>0</v>
      </c>
      <c r="K102" s="4" t="s">
        <v>23</v>
      </c>
    </row>
    <row r="103" spans="1:11" ht="28.8" x14ac:dyDescent="0.3">
      <c r="A103" s="3" t="s">
        <v>635</v>
      </c>
      <c r="B103" s="3" t="s">
        <v>17</v>
      </c>
      <c r="C103" s="3" t="s">
        <v>18</v>
      </c>
      <c r="D103" s="3">
        <v>2025</v>
      </c>
      <c r="E103" s="9" t="s">
        <v>638</v>
      </c>
      <c r="F103" s="4" t="s">
        <v>636</v>
      </c>
      <c r="G103" s="9" t="s">
        <v>2287</v>
      </c>
      <c r="H103" s="3">
        <v>1</v>
      </c>
      <c r="I103" s="3" t="s">
        <v>22</v>
      </c>
      <c r="J103" s="4" t="s">
        <v>0</v>
      </c>
      <c r="K103" s="4" t="s">
        <v>127</v>
      </c>
    </row>
    <row r="104" spans="1:11" ht="43.2" x14ac:dyDescent="0.3">
      <c r="A104" s="3" t="s">
        <v>641</v>
      </c>
      <c r="B104" s="3" t="s">
        <v>17</v>
      </c>
      <c r="C104" s="3" t="s">
        <v>18</v>
      </c>
      <c r="D104" s="3">
        <v>2018</v>
      </c>
      <c r="E104" s="9" t="s">
        <v>644</v>
      </c>
      <c r="F104" s="4" t="s">
        <v>642</v>
      </c>
      <c r="G104" s="9" t="s">
        <v>2288</v>
      </c>
      <c r="H104" s="3">
        <v>1</v>
      </c>
      <c r="I104" s="3" t="s">
        <v>50</v>
      </c>
      <c r="J104" s="4" t="s">
        <v>0</v>
      </c>
      <c r="K104" s="4" t="s">
        <v>647</v>
      </c>
    </row>
    <row r="105" spans="1:11" ht="28.8" x14ac:dyDescent="0.3">
      <c r="A105" s="3" t="s">
        <v>648</v>
      </c>
      <c r="B105" s="3" t="s">
        <v>17</v>
      </c>
      <c r="C105" s="3" t="s">
        <v>18</v>
      </c>
      <c r="D105" s="3">
        <v>2017</v>
      </c>
      <c r="E105" s="9" t="s">
        <v>651</v>
      </c>
      <c r="F105" s="4" t="s">
        <v>649</v>
      </c>
      <c r="G105" s="9" t="s">
        <v>2289</v>
      </c>
      <c r="H105" s="3">
        <v>1</v>
      </c>
      <c r="I105" s="3" t="s">
        <v>50</v>
      </c>
      <c r="J105" s="4" t="s">
        <v>0</v>
      </c>
      <c r="K105" s="4" t="s">
        <v>51</v>
      </c>
    </row>
    <row r="106" spans="1:11" ht="28.8" x14ac:dyDescent="0.3">
      <c r="A106" s="3" t="s">
        <v>654</v>
      </c>
      <c r="B106" s="3" t="s">
        <v>17</v>
      </c>
      <c r="C106" s="3" t="s">
        <v>18</v>
      </c>
      <c r="D106" s="3">
        <v>2024</v>
      </c>
      <c r="E106" s="9" t="s">
        <v>657</v>
      </c>
      <c r="F106" s="4" t="s">
        <v>655</v>
      </c>
      <c r="G106" s="9" t="s">
        <v>2290</v>
      </c>
      <c r="H106" s="3">
        <v>1</v>
      </c>
      <c r="I106" s="3" t="s">
        <v>50</v>
      </c>
      <c r="J106" s="4" t="s">
        <v>0</v>
      </c>
      <c r="K106" s="4" t="s">
        <v>660</v>
      </c>
    </row>
    <row r="107" spans="1:11" x14ac:dyDescent="0.3">
      <c r="A107" s="3" t="s">
        <v>661</v>
      </c>
      <c r="B107" s="3" t="s">
        <v>17</v>
      </c>
      <c r="C107" s="3" t="s">
        <v>18</v>
      </c>
      <c r="D107" s="3">
        <v>2025</v>
      </c>
      <c r="E107" s="9" t="s">
        <v>664</v>
      </c>
      <c r="F107" s="4" t="s">
        <v>662</v>
      </c>
      <c r="G107" s="9" t="s">
        <v>2291</v>
      </c>
      <c r="H107" s="3">
        <v>1</v>
      </c>
      <c r="I107" s="3" t="s">
        <v>22</v>
      </c>
      <c r="J107" s="4" t="s">
        <v>0</v>
      </c>
      <c r="K107" s="4" t="s">
        <v>23</v>
      </c>
    </row>
    <row r="108" spans="1:11" ht="28.8" x14ac:dyDescent="0.3">
      <c r="A108" s="3" t="s">
        <v>667</v>
      </c>
      <c r="B108" s="3" t="s">
        <v>17</v>
      </c>
      <c r="C108" s="3" t="s">
        <v>18</v>
      </c>
      <c r="D108" s="3">
        <v>2025</v>
      </c>
      <c r="E108" s="9" t="s">
        <v>670</v>
      </c>
      <c r="F108" s="4" t="s">
        <v>668</v>
      </c>
      <c r="G108" s="9" t="s">
        <v>2292</v>
      </c>
      <c r="H108" s="3">
        <v>1</v>
      </c>
      <c r="I108" s="3" t="s">
        <v>22</v>
      </c>
      <c r="J108" s="4" t="s">
        <v>0</v>
      </c>
      <c r="K108" s="4" t="s">
        <v>127</v>
      </c>
    </row>
    <row r="109" spans="1:11" ht="28.8" x14ac:dyDescent="0.3">
      <c r="A109" s="3" t="s">
        <v>673</v>
      </c>
      <c r="B109" s="3" t="s">
        <v>17</v>
      </c>
      <c r="C109" s="3" t="s">
        <v>18</v>
      </c>
      <c r="D109" s="3">
        <v>2025</v>
      </c>
      <c r="E109" s="9" t="s">
        <v>676</v>
      </c>
      <c r="F109" s="4" t="s">
        <v>674</v>
      </c>
      <c r="G109" s="9" t="s">
        <v>2293</v>
      </c>
      <c r="H109" s="3">
        <v>1</v>
      </c>
      <c r="I109" s="3" t="s">
        <v>22</v>
      </c>
      <c r="J109" s="4" t="s">
        <v>0</v>
      </c>
      <c r="K109" s="4" t="s">
        <v>37</v>
      </c>
    </row>
    <row r="110" spans="1:11" ht="28.8" x14ac:dyDescent="0.3">
      <c r="A110" s="3" t="s">
        <v>679</v>
      </c>
      <c r="B110" s="3" t="s">
        <v>17</v>
      </c>
      <c r="C110" s="3" t="s">
        <v>18</v>
      </c>
      <c r="D110" s="3">
        <v>2025</v>
      </c>
      <c r="E110" s="9" t="s">
        <v>682</v>
      </c>
      <c r="F110" s="4" t="s">
        <v>680</v>
      </c>
      <c r="G110" s="9" t="s">
        <v>2294</v>
      </c>
      <c r="H110" s="3">
        <v>1</v>
      </c>
      <c r="I110" s="3" t="s">
        <v>22</v>
      </c>
      <c r="J110" s="4" t="s">
        <v>0</v>
      </c>
      <c r="K110" s="4" t="s">
        <v>37</v>
      </c>
    </row>
    <row r="111" spans="1:11" ht="28.8" x14ac:dyDescent="0.3">
      <c r="A111" s="3" t="s">
        <v>685</v>
      </c>
      <c r="B111" s="3" t="s">
        <v>17</v>
      </c>
      <c r="C111" s="3" t="s">
        <v>18</v>
      </c>
      <c r="D111" s="3">
        <v>2010</v>
      </c>
      <c r="E111" s="9" t="s">
        <v>688</v>
      </c>
      <c r="F111" s="4" t="s">
        <v>686</v>
      </c>
      <c r="G111" s="9" t="s">
        <v>2295</v>
      </c>
      <c r="H111" s="3">
        <v>1</v>
      </c>
      <c r="I111" s="3" t="s">
        <v>50</v>
      </c>
      <c r="J111" s="4" t="s">
        <v>0</v>
      </c>
      <c r="K111" s="4" t="s">
        <v>451</v>
      </c>
    </row>
    <row r="112" spans="1:11" ht="28.8" x14ac:dyDescent="0.3">
      <c r="A112" s="3" t="s">
        <v>691</v>
      </c>
      <c r="B112" s="3" t="s">
        <v>17</v>
      </c>
      <c r="C112" s="3" t="s">
        <v>18</v>
      </c>
      <c r="D112" s="3">
        <v>2025</v>
      </c>
      <c r="E112" s="9" t="s">
        <v>694</v>
      </c>
      <c r="F112" s="4" t="s">
        <v>692</v>
      </c>
      <c r="G112" s="9" t="s">
        <v>2296</v>
      </c>
      <c r="H112" s="3">
        <v>1</v>
      </c>
      <c r="I112" s="3" t="s">
        <v>22</v>
      </c>
      <c r="J112" s="4" t="s">
        <v>0</v>
      </c>
      <c r="K112" s="4" t="s">
        <v>37</v>
      </c>
    </row>
    <row r="113" spans="1:11" ht="28.8" x14ac:dyDescent="0.3">
      <c r="A113" s="3" t="s">
        <v>697</v>
      </c>
      <c r="B113" s="3" t="s">
        <v>17</v>
      </c>
      <c r="C113" s="3" t="s">
        <v>18</v>
      </c>
      <c r="D113" s="3">
        <v>2025</v>
      </c>
      <c r="E113" s="9" t="s">
        <v>700</v>
      </c>
      <c r="F113" s="4" t="s">
        <v>698</v>
      </c>
      <c r="G113" s="9" t="s">
        <v>2297</v>
      </c>
      <c r="H113" s="3">
        <v>1</v>
      </c>
      <c r="I113" s="3" t="s">
        <v>22</v>
      </c>
      <c r="J113" s="4" t="s">
        <v>0</v>
      </c>
      <c r="K113" s="4" t="s">
        <v>37</v>
      </c>
    </row>
    <row r="114" spans="1:11" x14ac:dyDescent="0.3">
      <c r="A114" s="3" t="s">
        <v>703</v>
      </c>
      <c r="B114" s="3" t="s">
        <v>17</v>
      </c>
      <c r="C114" s="3" t="s">
        <v>18</v>
      </c>
      <c r="D114" s="3">
        <v>2025</v>
      </c>
      <c r="E114" s="9" t="s">
        <v>706</v>
      </c>
      <c r="F114" s="4" t="s">
        <v>704</v>
      </c>
      <c r="G114" s="9" t="s">
        <v>2298</v>
      </c>
      <c r="H114" s="3">
        <v>1</v>
      </c>
      <c r="I114" s="3" t="s">
        <v>22</v>
      </c>
      <c r="J114" s="4" t="s">
        <v>0</v>
      </c>
      <c r="K114" s="4" t="s">
        <v>161</v>
      </c>
    </row>
    <row r="115" spans="1:11" ht="28.8" x14ac:dyDescent="0.3">
      <c r="A115" s="3" t="s">
        <v>709</v>
      </c>
      <c r="B115" s="3" t="s">
        <v>17</v>
      </c>
      <c r="C115" s="3" t="s">
        <v>18</v>
      </c>
      <c r="D115" s="3">
        <v>2025</v>
      </c>
      <c r="E115" s="9" t="s">
        <v>712</v>
      </c>
      <c r="F115" s="4" t="s">
        <v>710</v>
      </c>
      <c r="G115" s="9" t="s">
        <v>2299</v>
      </c>
      <c r="H115" s="3">
        <v>1</v>
      </c>
      <c r="I115" s="3" t="s">
        <v>50</v>
      </c>
      <c r="J115" s="4" t="s">
        <v>0</v>
      </c>
      <c r="K115" s="4" t="s">
        <v>141</v>
      </c>
    </row>
    <row r="116" spans="1:11" ht="43.2" x14ac:dyDescent="0.3">
      <c r="A116" s="3" t="s">
        <v>715</v>
      </c>
      <c r="B116" s="3" t="s">
        <v>17</v>
      </c>
      <c r="C116" s="3" t="s">
        <v>18</v>
      </c>
      <c r="D116" s="3">
        <v>2025</v>
      </c>
      <c r="E116" s="9" t="s">
        <v>718</v>
      </c>
      <c r="F116" s="4" t="s">
        <v>716</v>
      </c>
      <c r="G116" s="9" t="s">
        <v>2300</v>
      </c>
      <c r="H116" s="3">
        <v>1</v>
      </c>
      <c r="I116" s="3" t="s">
        <v>22</v>
      </c>
      <c r="J116" s="4" t="s">
        <v>0</v>
      </c>
      <c r="K116" s="4" t="s">
        <v>579</v>
      </c>
    </row>
    <row r="117" spans="1:11" ht="28.8" x14ac:dyDescent="0.3">
      <c r="A117" s="3" t="s">
        <v>721</v>
      </c>
      <c r="B117" s="3" t="s">
        <v>17</v>
      </c>
      <c r="C117" s="3" t="s">
        <v>18</v>
      </c>
      <c r="D117" s="3">
        <v>2025</v>
      </c>
      <c r="E117" s="9" t="s">
        <v>724</v>
      </c>
      <c r="F117" s="4" t="s">
        <v>722</v>
      </c>
      <c r="G117" s="9" t="s">
        <v>2301</v>
      </c>
      <c r="H117" s="3">
        <v>1</v>
      </c>
      <c r="I117" s="3" t="s">
        <v>50</v>
      </c>
      <c r="J117" s="4" t="s">
        <v>0</v>
      </c>
      <c r="K117" s="4" t="s">
        <v>451</v>
      </c>
    </row>
    <row r="118" spans="1:11" ht="28.8" x14ac:dyDescent="0.3">
      <c r="A118" s="3" t="s">
        <v>727</v>
      </c>
      <c r="B118" s="3" t="s">
        <v>17</v>
      </c>
      <c r="C118" s="3" t="s">
        <v>18</v>
      </c>
      <c r="D118" s="3">
        <v>2025</v>
      </c>
      <c r="E118" s="9" t="s">
        <v>730</v>
      </c>
      <c r="F118" s="4" t="s">
        <v>728</v>
      </c>
      <c r="G118" s="9" t="s">
        <v>2302</v>
      </c>
      <c r="H118" s="3">
        <v>1</v>
      </c>
      <c r="I118" s="3" t="s">
        <v>22</v>
      </c>
      <c r="J118" s="4" t="s">
        <v>0</v>
      </c>
      <c r="K118" s="4" t="s">
        <v>120</v>
      </c>
    </row>
    <row r="119" spans="1:11" x14ac:dyDescent="0.3">
      <c r="A119" s="3" t="s">
        <v>733</v>
      </c>
      <c r="B119" s="3" t="s">
        <v>17</v>
      </c>
      <c r="C119" s="3" t="s">
        <v>18</v>
      </c>
      <c r="D119" s="3">
        <v>2012</v>
      </c>
      <c r="E119" s="9" t="s">
        <v>736</v>
      </c>
      <c r="F119" s="4" t="s">
        <v>734</v>
      </c>
      <c r="G119" s="9" t="s">
        <v>2303</v>
      </c>
      <c r="H119" s="3">
        <v>1</v>
      </c>
      <c r="I119" s="3" t="s">
        <v>50</v>
      </c>
      <c r="J119" s="4" t="s">
        <v>0</v>
      </c>
      <c r="K119" s="4" t="s">
        <v>451</v>
      </c>
    </row>
    <row r="120" spans="1:11" ht="28.8" x14ac:dyDescent="0.3">
      <c r="A120" s="3" t="s">
        <v>739</v>
      </c>
      <c r="B120" s="3" t="s">
        <v>17</v>
      </c>
      <c r="C120" s="3" t="s">
        <v>18</v>
      </c>
      <c r="D120" s="3">
        <v>2025</v>
      </c>
      <c r="E120" s="9" t="s">
        <v>742</v>
      </c>
      <c r="F120" s="4" t="s">
        <v>740</v>
      </c>
      <c r="G120" s="9" t="s">
        <v>2304</v>
      </c>
      <c r="H120" s="3">
        <v>1</v>
      </c>
      <c r="I120" s="3" t="s">
        <v>22</v>
      </c>
      <c r="J120" s="4" t="s">
        <v>0</v>
      </c>
      <c r="K120" s="4" t="s">
        <v>273</v>
      </c>
    </row>
    <row r="121" spans="1:11" ht="28.8" x14ac:dyDescent="0.3">
      <c r="A121" s="3" t="s">
        <v>745</v>
      </c>
      <c r="B121" s="3" t="s">
        <v>17</v>
      </c>
      <c r="C121" s="3" t="s">
        <v>18</v>
      </c>
      <c r="D121" s="3">
        <v>2022</v>
      </c>
      <c r="E121" s="9" t="s">
        <v>748</v>
      </c>
      <c r="F121" s="4" t="s">
        <v>746</v>
      </c>
      <c r="G121" s="9" t="s">
        <v>2305</v>
      </c>
      <c r="H121" s="3">
        <v>1</v>
      </c>
      <c r="I121" s="3" t="s">
        <v>50</v>
      </c>
      <c r="J121" s="4" t="s">
        <v>0</v>
      </c>
      <c r="K121" s="4" t="s">
        <v>660</v>
      </c>
    </row>
    <row r="122" spans="1:11" ht="28.8" x14ac:dyDescent="0.3">
      <c r="A122" s="3" t="s">
        <v>751</v>
      </c>
      <c r="B122" s="3" t="s">
        <v>17</v>
      </c>
      <c r="C122" s="3" t="s">
        <v>18</v>
      </c>
      <c r="D122" s="3">
        <v>2025</v>
      </c>
      <c r="E122" s="9" t="s">
        <v>754</v>
      </c>
      <c r="F122" s="4" t="s">
        <v>752</v>
      </c>
      <c r="G122" s="9" t="s">
        <v>2306</v>
      </c>
      <c r="H122" s="3">
        <v>1</v>
      </c>
      <c r="I122" s="3" t="s">
        <v>22</v>
      </c>
      <c r="J122" s="4" t="s">
        <v>0</v>
      </c>
      <c r="K122" s="4" t="s">
        <v>23</v>
      </c>
    </row>
    <row r="123" spans="1:11" ht="28.8" x14ac:dyDescent="0.3">
      <c r="A123" s="3" t="s">
        <v>757</v>
      </c>
      <c r="B123" s="3" t="s">
        <v>17</v>
      </c>
      <c r="C123" s="3" t="s">
        <v>18</v>
      </c>
      <c r="D123" s="3">
        <v>2025</v>
      </c>
      <c r="E123" s="9" t="s">
        <v>760</v>
      </c>
      <c r="F123" s="4" t="s">
        <v>758</v>
      </c>
      <c r="G123" s="9" t="s">
        <v>2307</v>
      </c>
      <c r="H123" s="3">
        <v>1</v>
      </c>
      <c r="I123" s="3" t="s">
        <v>22</v>
      </c>
      <c r="J123" s="4" t="s">
        <v>0</v>
      </c>
      <c r="K123" s="4" t="s">
        <v>37</v>
      </c>
    </row>
    <row r="124" spans="1:11" x14ac:dyDescent="0.3">
      <c r="A124" s="3" t="s">
        <v>763</v>
      </c>
      <c r="B124" s="3" t="s">
        <v>17</v>
      </c>
      <c r="C124" s="3" t="s">
        <v>18</v>
      </c>
      <c r="D124" s="3">
        <v>2011</v>
      </c>
      <c r="E124" s="9" t="s">
        <v>766</v>
      </c>
      <c r="F124" s="4" t="s">
        <v>764</v>
      </c>
      <c r="G124" s="9" t="s">
        <v>2308</v>
      </c>
      <c r="H124" s="3">
        <v>1</v>
      </c>
      <c r="I124" s="3" t="s">
        <v>50</v>
      </c>
      <c r="J124" s="4" t="s">
        <v>0</v>
      </c>
      <c r="K124" s="4" t="s">
        <v>260</v>
      </c>
    </row>
    <row r="125" spans="1:11" ht="28.8" x14ac:dyDescent="0.3">
      <c r="A125" s="3" t="s">
        <v>770</v>
      </c>
      <c r="B125" s="3" t="s">
        <v>773</v>
      </c>
      <c r="C125" s="3" t="s">
        <v>18</v>
      </c>
      <c r="D125" s="3">
        <v>2026</v>
      </c>
      <c r="E125" s="9" t="s">
        <v>774</v>
      </c>
      <c r="F125" s="4" t="s">
        <v>771</v>
      </c>
      <c r="G125" s="9" t="s">
        <v>2309</v>
      </c>
      <c r="H125" s="3">
        <v>1</v>
      </c>
      <c r="I125" s="3" t="s">
        <v>50</v>
      </c>
      <c r="J125" s="4" t="s">
        <v>769</v>
      </c>
      <c r="K125" s="4" t="s">
        <v>660</v>
      </c>
    </row>
    <row r="126" spans="1:11" ht="28.8" x14ac:dyDescent="0.3">
      <c r="A126" s="3" t="s">
        <v>777</v>
      </c>
      <c r="B126" s="3" t="s">
        <v>773</v>
      </c>
      <c r="C126" s="3" t="s">
        <v>18</v>
      </c>
      <c r="D126" s="3">
        <v>2025</v>
      </c>
      <c r="E126" s="9" t="s">
        <v>780</v>
      </c>
      <c r="F126" s="4" t="s">
        <v>778</v>
      </c>
      <c r="G126" s="9" t="s">
        <v>2310</v>
      </c>
      <c r="H126" s="3">
        <v>1</v>
      </c>
      <c r="I126" s="3" t="s">
        <v>50</v>
      </c>
      <c r="J126" s="4" t="s">
        <v>769</v>
      </c>
      <c r="K126" s="4" t="s">
        <v>660</v>
      </c>
    </row>
    <row r="127" spans="1:11" ht="28.8" x14ac:dyDescent="0.3">
      <c r="A127" s="3" t="s">
        <v>783</v>
      </c>
      <c r="B127" s="3" t="s">
        <v>773</v>
      </c>
      <c r="C127" s="3" t="s">
        <v>18</v>
      </c>
      <c r="D127" s="3">
        <v>2026</v>
      </c>
      <c r="E127" s="9" t="s">
        <v>786</v>
      </c>
      <c r="F127" s="4" t="s">
        <v>784</v>
      </c>
      <c r="G127" s="9" t="s">
        <v>2311</v>
      </c>
      <c r="H127" s="3">
        <v>1</v>
      </c>
      <c r="I127" s="3" t="s">
        <v>50</v>
      </c>
      <c r="J127" s="4" t="s">
        <v>769</v>
      </c>
      <c r="K127" s="4" t="s">
        <v>660</v>
      </c>
    </row>
    <row r="128" spans="1:11" ht="28.8" x14ac:dyDescent="0.3">
      <c r="A128" s="3" t="s">
        <v>789</v>
      </c>
      <c r="B128" s="3" t="s">
        <v>773</v>
      </c>
      <c r="C128" s="3" t="s">
        <v>18</v>
      </c>
      <c r="D128" s="3">
        <v>2025</v>
      </c>
      <c r="E128" s="9" t="s">
        <v>792</v>
      </c>
      <c r="F128" s="4" t="s">
        <v>790</v>
      </c>
      <c r="G128" s="9" t="s">
        <v>2312</v>
      </c>
      <c r="H128" s="3">
        <v>1</v>
      </c>
      <c r="I128" s="3" t="s">
        <v>50</v>
      </c>
      <c r="J128" s="4" t="s">
        <v>769</v>
      </c>
      <c r="K128" s="4" t="s">
        <v>451</v>
      </c>
    </row>
    <row r="129" spans="1:11" ht="28.8" x14ac:dyDescent="0.3">
      <c r="A129" s="3" t="s">
        <v>795</v>
      </c>
      <c r="B129" s="3" t="s">
        <v>773</v>
      </c>
      <c r="C129" s="3" t="s">
        <v>18</v>
      </c>
      <c r="D129" s="3">
        <v>2025</v>
      </c>
      <c r="E129" s="9" t="s">
        <v>798</v>
      </c>
      <c r="F129" s="4" t="s">
        <v>796</v>
      </c>
      <c r="G129" s="9" t="s">
        <v>2313</v>
      </c>
      <c r="H129" s="3">
        <v>1</v>
      </c>
      <c r="I129" s="3" t="s">
        <v>50</v>
      </c>
      <c r="J129" s="4" t="s">
        <v>769</v>
      </c>
      <c r="K129" s="4" t="s">
        <v>37</v>
      </c>
    </row>
    <row r="130" spans="1:11" ht="28.8" x14ac:dyDescent="0.3">
      <c r="A130" s="3" t="s">
        <v>801</v>
      </c>
      <c r="B130" s="3" t="s">
        <v>773</v>
      </c>
      <c r="C130" s="3" t="s">
        <v>18</v>
      </c>
      <c r="D130" s="3">
        <v>2025</v>
      </c>
      <c r="E130" s="9" t="s">
        <v>804</v>
      </c>
      <c r="F130" s="4" t="s">
        <v>802</v>
      </c>
      <c r="G130" s="9" t="s">
        <v>2314</v>
      </c>
      <c r="H130" s="3">
        <v>1</v>
      </c>
      <c r="I130" s="3" t="s">
        <v>50</v>
      </c>
      <c r="J130" s="4" t="s">
        <v>769</v>
      </c>
      <c r="K130" s="4" t="s">
        <v>37</v>
      </c>
    </row>
    <row r="131" spans="1:11" ht="28.8" x14ac:dyDescent="0.3">
      <c r="A131" s="3" t="s">
        <v>807</v>
      </c>
      <c r="B131" s="3" t="s">
        <v>773</v>
      </c>
      <c r="C131" s="3" t="s">
        <v>18</v>
      </c>
      <c r="D131" s="3">
        <v>2025</v>
      </c>
      <c r="E131" s="9" t="s">
        <v>810</v>
      </c>
      <c r="F131" s="4" t="s">
        <v>808</v>
      </c>
      <c r="G131" s="9" t="s">
        <v>2315</v>
      </c>
      <c r="H131" s="3">
        <v>1</v>
      </c>
      <c r="I131" s="3" t="s">
        <v>50</v>
      </c>
      <c r="J131" s="4" t="s">
        <v>769</v>
      </c>
      <c r="K131" s="4" t="s">
        <v>66</v>
      </c>
    </row>
    <row r="132" spans="1:11" ht="28.8" x14ac:dyDescent="0.3">
      <c r="A132" s="3" t="s">
        <v>813</v>
      </c>
      <c r="B132" s="3" t="s">
        <v>773</v>
      </c>
      <c r="C132" s="3" t="s">
        <v>18</v>
      </c>
      <c r="D132" s="3">
        <v>2025</v>
      </c>
      <c r="E132" s="9" t="s">
        <v>816</v>
      </c>
      <c r="F132" s="4" t="s">
        <v>814</v>
      </c>
      <c r="G132" s="9" t="s">
        <v>2316</v>
      </c>
      <c r="H132" s="3">
        <v>1</v>
      </c>
      <c r="I132" s="3" t="s">
        <v>50</v>
      </c>
      <c r="J132" s="4" t="s">
        <v>769</v>
      </c>
      <c r="K132" s="4" t="s">
        <v>127</v>
      </c>
    </row>
    <row r="133" spans="1:11" ht="28.8" x14ac:dyDescent="0.3">
      <c r="A133" s="3" t="s">
        <v>819</v>
      </c>
      <c r="B133" s="3" t="s">
        <v>773</v>
      </c>
      <c r="C133" s="3" t="s">
        <v>18</v>
      </c>
      <c r="D133" s="3">
        <v>2025</v>
      </c>
      <c r="E133" s="9" t="s">
        <v>822</v>
      </c>
      <c r="F133" s="4" t="s">
        <v>820</v>
      </c>
      <c r="G133" s="9" t="s">
        <v>2317</v>
      </c>
      <c r="H133" s="3">
        <v>1</v>
      </c>
      <c r="I133" s="3" t="s">
        <v>22</v>
      </c>
      <c r="J133" s="4" t="s">
        <v>769</v>
      </c>
      <c r="K133" s="4" t="s">
        <v>37</v>
      </c>
    </row>
    <row r="134" spans="1:11" ht="28.8" x14ac:dyDescent="0.3">
      <c r="A134" s="3" t="s">
        <v>825</v>
      </c>
      <c r="B134" s="3" t="s">
        <v>773</v>
      </c>
      <c r="C134" s="3" t="s">
        <v>18</v>
      </c>
      <c r="D134" s="3">
        <v>2025</v>
      </c>
      <c r="E134" s="9" t="s">
        <v>828</v>
      </c>
      <c r="F134" s="4" t="s">
        <v>826</v>
      </c>
      <c r="G134" s="9" t="s">
        <v>2318</v>
      </c>
      <c r="H134" s="3">
        <v>1</v>
      </c>
      <c r="I134" s="3" t="s">
        <v>50</v>
      </c>
      <c r="J134" s="4" t="s">
        <v>769</v>
      </c>
      <c r="K134" s="4" t="s">
        <v>660</v>
      </c>
    </row>
    <row r="135" spans="1:11" x14ac:dyDescent="0.3">
      <c r="A135" s="3" t="s">
        <v>831</v>
      </c>
      <c r="B135" s="3" t="s">
        <v>773</v>
      </c>
      <c r="C135" s="3" t="s">
        <v>18</v>
      </c>
      <c r="D135" s="3">
        <v>2025</v>
      </c>
      <c r="E135" s="9" t="s">
        <v>834</v>
      </c>
      <c r="F135" s="4" t="s">
        <v>832</v>
      </c>
      <c r="G135" s="9" t="s">
        <v>2319</v>
      </c>
      <c r="H135" s="3">
        <v>1</v>
      </c>
      <c r="I135" s="3" t="s">
        <v>50</v>
      </c>
      <c r="J135" s="4" t="s">
        <v>769</v>
      </c>
      <c r="K135" s="4" t="s">
        <v>210</v>
      </c>
    </row>
    <row r="136" spans="1:11" ht="28.8" x14ac:dyDescent="0.3">
      <c r="A136" s="3" t="s">
        <v>837</v>
      </c>
      <c r="B136" s="3" t="s">
        <v>773</v>
      </c>
      <c r="C136" s="3" t="s">
        <v>18</v>
      </c>
      <c r="D136" s="3">
        <v>2026</v>
      </c>
      <c r="E136" s="9" t="s">
        <v>840</v>
      </c>
      <c r="F136" s="4" t="s">
        <v>838</v>
      </c>
      <c r="G136" s="9" t="s">
        <v>2320</v>
      </c>
      <c r="H136" s="3">
        <v>1</v>
      </c>
      <c r="I136" s="3" t="s">
        <v>50</v>
      </c>
      <c r="J136" s="4" t="s">
        <v>769</v>
      </c>
      <c r="K136" s="4" t="s">
        <v>127</v>
      </c>
    </row>
    <row r="137" spans="1:11" ht="28.8" x14ac:dyDescent="0.3">
      <c r="A137" s="3" t="s">
        <v>843</v>
      </c>
      <c r="B137" s="3" t="s">
        <v>773</v>
      </c>
      <c r="C137" s="3" t="s">
        <v>18</v>
      </c>
      <c r="D137" s="3">
        <v>2025</v>
      </c>
      <c r="E137" s="9" t="s">
        <v>846</v>
      </c>
      <c r="F137" s="4" t="s">
        <v>844</v>
      </c>
      <c r="G137" s="9" t="s">
        <v>2321</v>
      </c>
      <c r="H137" s="3">
        <v>1</v>
      </c>
      <c r="I137" s="3" t="s">
        <v>50</v>
      </c>
      <c r="J137" s="4" t="s">
        <v>769</v>
      </c>
      <c r="K137" s="4" t="s">
        <v>127</v>
      </c>
    </row>
    <row r="138" spans="1:11" ht="28.8" x14ac:dyDescent="0.3">
      <c r="A138" s="3" t="s">
        <v>849</v>
      </c>
      <c r="B138" s="3" t="s">
        <v>773</v>
      </c>
      <c r="C138" s="3" t="s">
        <v>18</v>
      </c>
      <c r="D138" s="3">
        <v>2025</v>
      </c>
      <c r="E138" s="9" t="s">
        <v>852</v>
      </c>
      <c r="F138" s="4" t="s">
        <v>850</v>
      </c>
      <c r="G138" s="9" t="s">
        <v>2322</v>
      </c>
      <c r="H138" s="3">
        <v>1</v>
      </c>
      <c r="I138" s="3" t="s">
        <v>50</v>
      </c>
      <c r="J138" s="4" t="s">
        <v>769</v>
      </c>
      <c r="K138" s="4" t="s">
        <v>660</v>
      </c>
    </row>
    <row r="139" spans="1:11" ht="28.8" x14ac:dyDescent="0.3">
      <c r="A139" s="3" t="s">
        <v>855</v>
      </c>
      <c r="B139" s="3" t="s">
        <v>773</v>
      </c>
      <c r="C139" s="3" t="s">
        <v>18</v>
      </c>
      <c r="D139" s="3">
        <v>2025</v>
      </c>
      <c r="E139" s="9" t="s">
        <v>858</v>
      </c>
      <c r="F139" s="4" t="s">
        <v>856</v>
      </c>
      <c r="G139" s="9" t="s">
        <v>2323</v>
      </c>
      <c r="H139" s="3">
        <v>1</v>
      </c>
      <c r="I139" s="3" t="s">
        <v>22</v>
      </c>
      <c r="J139" s="4" t="s">
        <v>769</v>
      </c>
      <c r="K139" s="4" t="s">
        <v>660</v>
      </c>
    </row>
    <row r="140" spans="1:11" x14ac:dyDescent="0.3">
      <c r="A140" s="3" t="s">
        <v>861</v>
      </c>
      <c r="B140" s="3" t="s">
        <v>773</v>
      </c>
      <c r="C140" s="3" t="s">
        <v>18</v>
      </c>
      <c r="D140" s="3">
        <v>2024</v>
      </c>
      <c r="E140" s="9" t="s">
        <v>864</v>
      </c>
      <c r="F140" s="4" t="s">
        <v>862</v>
      </c>
      <c r="G140" s="9" t="s">
        <v>2324</v>
      </c>
      <c r="H140" s="3">
        <v>1</v>
      </c>
      <c r="I140" s="3" t="s">
        <v>50</v>
      </c>
      <c r="J140" s="4" t="s">
        <v>769</v>
      </c>
      <c r="K140" s="4" t="s">
        <v>101</v>
      </c>
    </row>
    <row r="141" spans="1:11" ht="28.8" x14ac:dyDescent="0.3">
      <c r="A141" s="3" t="s">
        <v>867</v>
      </c>
      <c r="B141" s="3" t="s">
        <v>773</v>
      </c>
      <c r="C141" s="3" t="s">
        <v>18</v>
      </c>
      <c r="D141" s="3">
        <v>2025</v>
      </c>
      <c r="E141" s="9" t="s">
        <v>870</v>
      </c>
      <c r="F141" s="4" t="s">
        <v>868</v>
      </c>
      <c r="G141" s="9" t="s">
        <v>2325</v>
      </c>
      <c r="H141" s="3">
        <v>1</v>
      </c>
      <c r="I141" s="3" t="s">
        <v>50</v>
      </c>
      <c r="J141" s="4" t="s">
        <v>769</v>
      </c>
      <c r="K141" s="4" t="s">
        <v>127</v>
      </c>
    </row>
    <row r="142" spans="1:11" ht="28.8" x14ac:dyDescent="0.3">
      <c r="A142" s="3" t="s">
        <v>873</v>
      </c>
      <c r="B142" s="3" t="s">
        <v>773</v>
      </c>
      <c r="C142" s="3" t="s">
        <v>18</v>
      </c>
      <c r="D142" s="3">
        <v>2024</v>
      </c>
      <c r="E142" s="9" t="s">
        <v>876</v>
      </c>
      <c r="F142" s="4" t="s">
        <v>874</v>
      </c>
      <c r="G142" s="9" t="s">
        <v>2326</v>
      </c>
      <c r="H142" s="3">
        <v>1</v>
      </c>
      <c r="I142" s="3" t="s">
        <v>50</v>
      </c>
      <c r="J142" s="4" t="s">
        <v>769</v>
      </c>
      <c r="K142" s="4" t="s">
        <v>127</v>
      </c>
    </row>
    <row r="143" spans="1:11" ht="28.8" x14ac:dyDescent="0.3">
      <c r="A143" s="3" t="s">
        <v>879</v>
      </c>
      <c r="B143" s="3" t="s">
        <v>773</v>
      </c>
      <c r="C143" s="3" t="s">
        <v>18</v>
      </c>
      <c r="D143" s="3">
        <v>2025</v>
      </c>
      <c r="E143" s="9" t="s">
        <v>882</v>
      </c>
      <c r="F143" s="4" t="s">
        <v>880</v>
      </c>
      <c r="G143" s="9" t="s">
        <v>2327</v>
      </c>
      <c r="H143" s="3">
        <v>1</v>
      </c>
      <c r="I143" s="3" t="s">
        <v>50</v>
      </c>
      <c r="J143" s="4" t="s">
        <v>769</v>
      </c>
      <c r="K143" s="4" t="s">
        <v>885</v>
      </c>
    </row>
    <row r="144" spans="1:11" ht="28.8" x14ac:dyDescent="0.3">
      <c r="A144" s="3" t="s">
        <v>886</v>
      </c>
      <c r="B144" s="3" t="s">
        <v>773</v>
      </c>
      <c r="C144" s="3" t="s">
        <v>18</v>
      </c>
      <c r="D144" s="3">
        <v>2025</v>
      </c>
      <c r="E144" s="9" t="s">
        <v>889</v>
      </c>
      <c r="F144" s="4" t="s">
        <v>887</v>
      </c>
      <c r="G144" s="9" t="s">
        <v>2328</v>
      </c>
      <c r="H144" s="3">
        <v>1</v>
      </c>
      <c r="I144" s="3" t="s">
        <v>50</v>
      </c>
      <c r="J144" s="4" t="s">
        <v>769</v>
      </c>
      <c r="K144" s="4" t="s">
        <v>451</v>
      </c>
    </row>
    <row r="145" spans="1:11" ht="43.2" x14ac:dyDescent="0.3">
      <c r="A145" s="3" t="s">
        <v>892</v>
      </c>
      <c r="B145" s="3" t="s">
        <v>773</v>
      </c>
      <c r="C145" s="3" t="s">
        <v>18</v>
      </c>
      <c r="D145" s="3">
        <v>2025</v>
      </c>
      <c r="E145" s="9" t="s">
        <v>895</v>
      </c>
      <c r="F145" s="4" t="s">
        <v>893</v>
      </c>
      <c r="G145" s="9" t="s">
        <v>2329</v>
      </c>
      <c r="H145" s="3">
        <v>1</v>
      </c>
      <c r="I145" s="3" t="s">
        <v>22</v>
      </c>
      <c r="J145" s="4" t="s">
        <v>769</v>
      </c>
      <c r="K145" s="4" t="s">
        <v>898</v>
      </c>
    </row>
    <row r="146" spans="1:11" ht="28.8" x14ac:dyDescent="0.3">
      <c r="A146" s="3" t="s">
        <v>899</v>
      </c>
      <c r="B146" s="3" t="s">
        <v>773</v>
      </c>
      <c r="C146" s="3" t="s">
        <v>18</v>
      </c>
      <c r="D146" s="3">
        <v>2025</v>
      </c>
      <c r="E146" s="9" t="s">
        <v>902</v>
      </c>
      <c r="F146" s="4" t="s">
        <v>900</v>
      </c>
      <c r="G146" s="9" t="s">
        <v>2330</v>
      </c>
      <c r="H146" s="3">
        <v>1</v>
      </c>
      <c r="I146" s="3" t="s">
        <v>22</v>
      </c>
      <c r="J146" s="4" t="s">
        <v>769</v>
      </c>
      <c r="K146" s="4" t="s">
        <v>161</v>
      </c>
    </row>
    <row r="147" spans="1:11" ht="28.8" x14ac:dyDescent="0.3">
      <c r="A147" s="3" t="s">
        <v>905</v>
      </c>
      <c r="B147" s="3" t="s">
        <v>773</v>
      </c>
      <c r="C147" s="3" t="s">
        <v>18</v>
      </c>
      <c r="D147" s="3">
        <v>2025</v>
      </c>
      <c r="E147" s="9" t="s">
        <v>908</v>
      </c>
      <c r="F147" s="4" t="s">
        <v>906</v>
      </c>
      <c r="G147" s="9" t="s">
        <v>2331</v>
      </c>
      <c r="H147" s="3">
        <v>1</v>
      </c>
      <c r="I147" s="3" t="s">
        <v>50</v>
      </c>
      <c r="J147" s="4" t="s">
        <v>769</v>
      </c>
      <c r="K147" s="4" t="s">
        <v>37</v>
      </c>
    </row>
    <row r="148" spans="1:11" ht="28.8" x14ac:dyDescent="0.3">
      <c r="A148" s="3" t="s">
        <v>911</v>
      </c>
      <c r="B148" s="3" t="s">
        <v>773</v>
      </c>
      <c r="C148" s="3" t="s">
        <v>18</v>
      </c>
      <c r="D148" s="3">
        <v>2025</v>
      </c>
      <c r="E148" s="9" t="s">
        <v>914</v>
      </c>
      <c r="F148" s="4" t="s">
        <v>912</v>
      </c>
      <c r="G148" s="9" t="s">
        <v>2332</v>
      </c>
      <c r="H148" s="3">
        <v>1</v>
      </c>
      <c r="I148" s="3" t="s">
        <v>22</v>
      </c>
      <c r="J148" s="4" t="s">
        <v>769</v>
      </c>
      <c r="K148" s="4" t="s">
        <v>23</v>
      </c>
    </row>
    <row r="149" spans="1:11" ht="43.2" x14ac:dyDescent="0.3">
      <c r="A149" s="3" t="s">
        <v>917</v>
      </c>
      <c r="B149" s="3" t="s">
        <v>773</v>
      </c>
      <c r="C149" s="3" t="s">
        <v>18</v>
      </c>
      <c r="D149" s="3">
        <v>2025</v>
      </c>
      <c r="E149" s="9" t="s">
        <v>920</v>
      </c>
      <c r="F149" s="4" t="s">
        <v>918</v>
      </c>
      <c r="G149" s="9" t="s">
        <v>2333</v>
      </c>
      <c r="H149" s="3">
        <v>1</v>
      </c>
      <c r="I149" s="3" t="s">
        <v>50</v>
      </c>
      <c r="J149" s="4" t="s">
        <v>769</v>
      </c>
      <c r="K149" s="4" t="s">
        <v>273</v>
      </c>
    </row>
    <row r="150" spans="1:11" ht="28.8" x14ac:dyDescent="0.3">
      <c r="A150" s="3" t="s">
        <v>923</v>
      </c>
      <c r="B150" s="3" t="s">
        <v>773</v>
      </c>
      <c r="C150" s="3" t="s">
        <v>18</v>
      </c>
      <c r="D150" s="3">
        <v>2025</v>
      </c>
      <c r="E150" s="9" t="s">
        <v>926</v>
      </c>
      <c r="F150" s="4" t="s">
        <v>924</v>
      </c>
      <c r="G150" s="9" t="s">
        <v>2334</v>
      </c>
      <c r="H150" s="3">
        <v>1</v>
      </c>
      <c r="I150" s="3" t="s">
        <v>22</v>
      </c>
      <c r="J150" s="4" t="s">
        <v>769</v>
      </c>
      <c r="K150" s="4" t="s">
        <v>120</v>
      </c>
    </row>
    <row r="151" spans="1:11" ht="28.8" x14ac:dyDescent="0.3">
      <c r="A151" s="3" t="s">
        <v>929</v>
      </c>
      <c r="B151" s="3" t="s">
        <v>773</v>
      </c>
      <c r="C151" s="3" t="s">
        <v>18</v>
      </c>
      <c r="D151" s="3">
        <v>2025</v>
      </c>
      <c r="E151" s="9" t="s">
        <v>932</v>
      </c>
      <c r="F151" s="4" t="s">
        <v>930</v>
      </c>
      <c r="G151" s="9" t="s">
        <v>2335</v>
      </c>
      <c r="H151" s="3">
        <v>1</v>
      </c>
      <c r="I151" s="3" t="s">
        <v>50</v>
      </c>
      <c r="J151" s="4" t="s">
        <v>769</v>
      </c>
      <c r="K151" s="4" t="s">
        <v>127</v>
      </c>
    </row>
    <row r="152" spans="1:11" ht="28.8" x14ac:dyDescent="0.3">
      <c r="A152" s="3" t="s">
        <v>935</v>
      </c>
      <c r="B152" s="3" t="s">
        <v>773</v>
      </c>
      <c r="C152" s="3" t="s">
        <v>18</v>
      </c>
      <c r="D152" s="3">
        <v>2025</v>
      </c>
      <c r="E152" s="9" t="s">
        <v>938</v>
      </c>
      <c r="F152" s="4" t="s">
        <v>936</v>
      </c>
      <c r="G152" s="9" t="s">
        <v>2336</v>
      </c>
      <c r="H152" s="3">
        <v>1</v>
      </c>
      <c r="I152" s="3" t="s">
        <v>50</v>
      </c>
      <c r="J152" s="4" t="s">
        <v>769</v>
      </c>
      <c r="K152" s="4" t="s">
        <v>127</v>
      </c>
    </row>
    <row r="153" spans="1:11" x14ac:dyDescent="0.3">
      <c r="A153" s="3" t="s">
        <v>941</v>
      </c>
      <c r="B153" s="3" t="s">
        <v>773</v>
      </c>
      <c r="C153" s="3" t="s">
        <v>18</v>
      </c>
      <c r="D153" s="3">
        <v>2025</v>
      </c>
      <c r="E153" s="9" t="s">
        <v>944</v>
      </c>
      <c r="F153" s="4" t="s">
        <v>942</v>
      </c>
      <c r="G153" s="9" t="s">
        <v>2337</v>
      </c>
      <c r="H153" s="3">
        <v>1</v>
      </c>
      <c r="I153" s="3" t="s">
        <v>50</v>
      </c>
      <c r="J153" s="4" t="s">
        <v>769</v>
      </c>
      <c r="K153" s="4" t="s">
        <v>451</v>
      </c>
    </row>
    <row r="154" spans="1:11" ht="28.8" x14ac:dyDescent="0.3">
      <c r="A154" s="3" t="s">
        <v>947</v>
      </c>
      <c r="B154" s="3" t="s">
        <v>773</v>
      </c>
      <c r="C154" s="3" t="s">
        <v>18</v>
      </c>
      <c r="D154" s="3">
        <v>2026</v>
      </c>
      <c r="E154" s="9" t="s">
        <v>950</v>
      </c>
      <c r="F154" s="4" t="s">
        <v>948</v>
      </c>
      <c r="G154" s="9" t="s">
        <v>2338</v>
      </c>
      <c r="H154" s="3">
        <v>1</v>
      </c>
      <c r="I154" s="3" t="s">
        <v>50</v>
      </c>
      <c r="J154" s="4" t="s">
        <v>769</v>
      </c>
      <c r="K154" s="4" t="s">
        <v>953</v>
      </c>
    </row>
    <row r="155" spans="1:11" ht="28.8" x14ac:dyDescent="0.3">
      <c r="A155" s="3" t="s">
        <v>954</v>
      </c>
      <c r="B155" s="3" t="s">
        <v>773</v>
      </c>
      <c r="C155" s="3" t="s">
        <v>18</v>
      </c>
      <c r="D155" s="3">
        <v>2025</v>
      </c>
      <c r="E155" s="9" t="s">
        <v>957</v>
      </c>
      <c r="F155" s="4" t="s">
        <v>955</v>
      </c>
      <c r="G155" s="9" t="s">
        <v>2339</v>
      </c>
      <c r="H155" s="3">
        <v>1</v>
      </c>
      <c r="I155" s="3" t="s">
        <v>22</v>
      </c>
      <c r="J155" s="4" t="s">
        <v>769</v>
      </c>
      <c r="K155" s="4" t="s">
        <v>37</v>
      </c>
    </row>
    <row r="156" spans="1:11" x14ac:dyDescent="0.3">
      <c r="A156" s="3" t="s">
        <v>960</v>
      </c>
      <c r="B156" s="3" t="s">
        <v>773</v>
      </c>
      <c r="C156" s="3" t="s">
        <v>18</v>
      </c>
      <c r="D156" s="3">
        <v>2026</v>
      </c>
      <c r="E156" s="9" t="s">
        <v>963</v>
      </c>
      <c r="F156" s="4" t="s">
        <v>961</v>
      </c>
      <c r="G156" s="9" t="s">
        <v>2340</v>
      </c>
      <c r="H156" s="3">
        <v>1</v>
      </c>
      <c r="I156" s="3" t="s">
        <v>22</v>
      </c>
      <c r="J156" s="4" t="s">
        <v>769</v>
      </c>
      <c r="K156" s="4" t="s">
        <v>660</v>
      </c>
    </row>
    <row r="157" spans="1:11" ht="28.8" x14ac:dyDescent="0.3">
      <c r="A157" s="3" t="s">
        <v>966</v>
      </c>
      <c r="B157" s="3" t="s">
        <v>773</v>
      </c>
      <c r="C157" s="3" t="s">
        <v>18</v>
      </c>
      <c r="D157" s="3">
        <v>2025</v>
      </c>
      <c r="E157" s="9" t="s">
        <v>969</v>
      </c>
      <c r="F157" s="4" t="s">
        <v>967</v>
      </c>
      <c r="G157" s="9" t="s">
        <v>2341</v>
      </c>
      <c r="H157" s="3">
        <v>1</v>
      </c>
      <c r="I157" s="3" t="s">
        <v>50</v>
      </c>
      <c r="J157" s="4" t="s">
        <v>769</v>
      </c>
      <c r="K157" s="4" t="s">
        <v>23</v>
      </c>
    </row>
    <row r="158" spans="1:11" ht="28.8" x14ac:dyDescent="0.3">
      <c r="A158" s="3" t="s">
        <v>972</v>
      </c>
      <c r="B158" s="3" t="s">
        <v>773</v>
      </c>
      <c r="C158" s="3" t="s">
        <v>18</v>
      </c>
      <c r="D158" s="3">
        <v>2026</v>
      </c>
      <c r="E158" s="9" t="s">
        <v>975</v>
      </c>
      <c r="F158" s="4" t="s">
        <v>973</v>
      </c>
      <c r="G158" s="9" t="s">
        <v>2342</v>
      </c>
      <c r="H158" s="3">
        <v>1</v>
      </c>
      <c r="I158" s="3" t="s">
        <v>50</v>
      </c>
      <c r="J158" s="4" t="s">
        <v>769</v>
      </c>
      <c r="K158" s="4" t="s">
        <v>978</v>
      </c>
    </row>
    <row r="159" spans="1:11" ht="43.2" x14ac:dyDescent="0.3">
      <c r="A159" s="3" t="s">
        <v>979</v>
      </c>
      <c r="B159" s="3" t="s">
        <v>773</v>
      </c>
      <c r="C159" s="3" t="s">
        <v>18</v>
      </c>
      <c r="D159" s="3">
        <v>2025</v>
      </c>
      <c r="E159" s="9" t="s">
        <v>982</v>
      </c>
      <c r="F159" s="4" t="s">
        <v>980</v>
      </c>
      <c r="G159" s="9" t="s">
        <v>2343</v>
      </c>
      <c r="H159" s="3">
        <v>1</v>
      </c>
      <c r="I159" s="3" t="s">
        <v>50</v>
      </c>
      <c r="J159" s="4" t="s">
        <v>769</v>
      </c>
      <c r="K159" s="4" t="s">
        <v>37</v>
      </c>
    </row>
    <row r="160" spans="1:11" ht="28.8" x14ac:dyDescent="0.3">
      <c r="A160" s="3" t="s">
        <v>985</v>
      </c>
      <c r="B160" s="3" t="s">
        <v>773</v>
      </c>
      <c r="C160" s="3" t="s">
        <v>18</v>
      </c>
      <c r="D160" s="3">
        <v>2025</v>
      </c>
      <c r="E160" s="9" t="s">
        <v>988</v>
      </c>
      <c r="F160" s="4" t="s">
        <v>986</v>
      </c>
      <c r="G160" s="9" t="s">
        <v>2344</v>
      </c>
      <c r="H160" s="3">
        <v>1</v>
      </c>
      <c r="I160" s="3" t="s">
        <v>50</v>
      </c>
      <c r="J160" s="4" t="s">
        <v>769</v>
      </c>
      <c r="K160" s="4" t="s">
        <v>260</v>
      </c>
    </row>
    <row r="161" spans="1:11" ht="28.8" x14ac:dyDescent="0.3">
      <c r="A161" s="3" t="s">
        <v>991</v>
      </c>
      <c r="B161" s="3" t="s">
        <v>773</v>
      </c>
      <c r="C161" s="3" t="s">
        <v>18</v>
      </c>
      <c r="D161" s="3">
        <v>2025</v>
      </c>
      <c r="E161" s="9" t="s">
        <v>994</v>
      </c>
      <c r="F161" s="4" t="s">
        <v>992</v>
      </c>
      <c r="G161" s="9" t="s">
        <v>2345</v>
      </c>
      <c r="H161" s="3">
        <v>1</v>
      </c>
      <c r="I161" s="3" t="s">
        <v>50</v>
      </c>
      <c r="J161" s="4" t="s">
        <v>769</v>
      </c>
      <c r="K161" s="4" t="s">
        <v>134</v>
      </c>
    </row>
    <row r="162" spans="1:11" ht="28.8" x14ac:dyDescent="0.3">
      <c r="A162" s="3" t="s">
        <v>997</v>
      </c>
      <c r="B162" s="3" t="s">
        <v>773</v>
      </c>
      <c r="C162" s="3" t="s">
        <v>18</v>
      </c>
      <c r="D162" s="3">
        <v>2025</v>
      </c>
      <c r="E162" s="9" t="s">
        <v>1000</v>
      </c>
      <c r="F162" s="4" t="s">
        <v>998</v>
      </c>
      <c r="G162" s="9" t="s">
        <v>2346</v>
      </c>
      <c r="H162" s="3">
        <v>1</v>
      </c>
      <c r="I162" s="3" t="s">
        <v>50</v>
      </c>
      <c r="J162" s="4" t="s">
        <v>769</v>
      </c>
      <c r="K162" s="4" t="s">
        <v>451</v>
      </c>
    </row>
    <row r="163" spans="1:11" ht="28.8" x14ac:dyDescent="0.3">
      <c r="A163" s="3" t="s">
        <v>1003</v>
      </c>
      <c r="B163" s="3" t="s">
        <v>773</v>
      </c>
      <c r="C163" s="3" t="s">
        <v>18</v>
      </c>
      <c r="D163" s="3">
        <v>2025</v>
      </c>
      <c r="E163" s="9" t="s">
        <v>1006</v>
      </c>
      <c r="F163" s="4" t="s">
        <v>1004</v>
      </c>
      <c r="G163" s="9" t="s">
        <v>2347</v>
      </c>
      <c r="H163" s="3">
        <v>1</v>
      </c>
      <c r="I163" s="3" t="s">
        <v>50</v>
      </c>
      <c r="J163" s="4" t="s">
        <v>769</v>
      </c>
      <c r="K163" s="4" t="s">
        <v>37</v>
      </c>
    </row>
    <row r="164" spans="1:11" ht="28.8" x14ac:dyDescent="0.3">
      <c r="A164" s="3" t="s">
        <v>1009</v>
      </c>
      <c r="B164" s="3" t="s">
        <v>773</v>
      </c>
      <c r="C164" s="3" t="s">
        <v>18</v>
      </c>
      <c r="D164" s="3">
        <v>2026</v>
      </c>
      <c r="E164" s="9" t="s">
        <v>1012</v>
      </c>
      <c r="F164" s="4" t="s">
        <v>1010</v>
      </c>
      <c r="G164" s="9" t="s">
        <v>2348</v>
      </c>
      <c r="H164" s="3">
        <v>1</v>
      </c>
      <c r="I164" s="3" t="s">
        <v>50</v>
      </c>
      <c r="J164" s="4" t="s">
        <v>769</v>
      </c>
      <c r="K164" s="4" t="s">
        <v>660</v>
      </c>
    </row>
    <row r="165" spans="1:11" ht="28.8" x14ac:dyDescent="0.3">
      <c r="A165" s="3" t="s">
        <v>1015</v>
      </c>
      <c r="B165" s="3" t="s">
        <v>773</v>
      </c>
      <c r="C165" s="3" t="s">
        <v>18</v>
      </c>
      <c r="D165" s="3">
        <v>2025</v>
      </c>
      <c r="E165" s="9" t="s">
        <v>1018</v>
      </c>
      <c r="F165" s="4" t="s">
        <v>1016</v>
      </c>
      <c r="G165" s="9" t="s">
        <v>2349</v>
      </c>
      <c r="H165" s="3">
        <v>1</v>
      </c>
      <c r="I165" s="3" t="s">
        <v>50</v>
      </c>
      <c r="J165" s="4" t="s">
        <v>769</v>
      </c>
      <c r="K165" s="4" t="s">
        <v>660</v>
      </c>
    </row>
    <row r="166" spans="1:11" ht="43.2" x14ac:dyDescent="0.3">
      <c r="A166" s="3" t="s">
        <v>1021</v>
      </c>
      <c r="B166" s="3" t="s">
        <v>773</v>
      </c>
      <c r="C166" s="3" t="s">
        <v>18</v>
      </c>
      <c r="D166" s="3">
        <v>2024</v>
      </c>
      <c r="E166" s="9" t="s">
        <v>1024</v>
      </c>
      <c r="F166" s="4" t="s">
        <v>1022</v>
      </c>
      <c r="G166" s="9" t="s">
        <v>2350</v>
      </c>
      <c r="H166" s="3">
        <v>1</v>
      </c>
      <c r="I166" s="3" t="s">
        <v>50</v>
      </c>
      <c r="J166" s="4" t="s">
        <v>769</v>
      </c>
      <c r="K166" s="4" t="s">
        <v>37</v>
      </c>
    </row>
    <row r="167" spans="1:11" ht="28.8" x14ac:dyDescent="0.3">
      <c r="A167" s="3" t="s">
        <v>1027</v>
      </c>
      <c r="B167" s="3" t="s">
        <v>773</v>
      </c>
      <c r="C167" s="3" t="s">
        <v>18</v>
      </c>
      <c r="D167" s="3">
        <v>2025</v>
      </c>
      <c r="E167" s="9" t="s">
        <v>1030</v>
      </c>
      <c r="F167" s="4" t="s">
        <v>1028</v>
      </c>
      <c r="G167" s="9" t="s">
        <v>2351</v>
      </c>
      <c r="H167" s="3">
        <v>1</v>
      </c>
      <c r="I167" s="3" t="s">
        <v>22</v>
      </c>
      <c r="J167" s="4" t="s">
        <v>769</v>
      </c>
      <c r="K167" s="4" t="s">
        <v>127</v>
      </c>
    </row>
    <row r="168" spans="1:11" ht="28.8" x14ac:dyDescent="0.3">
      <c r="A168" s="3" t="s">
        <v>1033</v>
      </c>
      <c r="B168" s="3" t="s">
        <v>773</v>
      </c>
      <c r="C168" s="3" t="s">
        <v>18</v>
      </c>
      <c r="D168" s="3">
        <v>2026</v>
      </c>
      <c r="E168" s="9" t="s">
        <v>1036</v>
      </c>
      <c r="F168" s="4" t="s">
        <v>1034</v>
      </c>
      <c r="G168" s="9" t="s">
        <v>2352</v>
      </c>
      <c r="H168" s="3">
        <v>1</v>
      </c>
      <c r="I168" s="3" t="s">
        <v>50</v>
      </c>
      <c r="J168" s="4" t="s">
        <v>769</v>
      </c>
      <c r="K168" s="4" t="s">
        <v>66</v>
      </c>
    </row>
    <row r="169" spans="1:11" ht="28.8" x14ac:dyDescent="0.3">
      <c r="A169" s="3" t="s">
        <v>1039</v>
      </c>
      <c r="B169" s="3" t="s">
        <v>773</v>
      </c>
      <c r="C169" s="3" t="s">
        <v>18</v>
      </c>
      <c r="D169" s="3">
        <v>2025</v>
      </c>
      <c r="E169" s="9" t="s">
        <v>1042</v>
      </c>
      <c r="F169" s="4" t="s">
        <v>1040</v>
      </c>
      <c r="G169" s="9" t="s">
        <v>2353</v>
      </c>
      <c r="H169" s="3">
        <v>1</v>
      </c>
      <c r="I169" s="3" t="s">
        <v>50</v>
      </c>
      <c r="J169" s="4" t="s">
        <v>769</v>
      </c>
      <c r="K169" s="4" t="s">
        <v>451</v>
      </c>
    </row>
    <row r="170" spans="1:11" ht="28.8" x14ac:dyDescent="0.3">
      <c r="A170" s="3" t="s">
        <v>1045</v>
      </c>
      <c r="B170" s="3" t="s">
        <v>773</v>
      </c>
      <c r="C170" s="3" t="s">
        <v>18</v>
      </c>
      <c r="D170" s="3">
        <v>2020</v>
      </c>
      <c r="E170" s="9" t="s">
        <v>1048</v>
      </c>
      <c r="F170" s="4" t="s">
        <v>1046</v>
      </c>
      <c r="G170" s="9" t="s">
        <v>2354</v>
      </c>
      <c r="H170" s="3">
        <v>1</v>
      </c>
      <c r="I170" s="3" t="s">
        <v>50</v>
      </c>
      <c r="J170" s="4" t="s">
        <v>769</v>
      </c>
      <c r="K170" s="4" t="s">
        <v>154</v>
      </c>
    </row>
    <row r="171" spans="1:11" ht="28.8" x14ac:dyDescent="0.3">
      <c r="A171" s="3" t="s">
        <v>1051</v>
      </c>
      <c r="B171" s="3" t="s">
        <v>773</v>
      </c>
      <c r="C171" s="3" t="s">
        <v>18</v>
      </c>
      <c r="D171" s="3">
        <v>2025</v>
      </c>
      <c r="E171" s="9" t="s">
        <v>1054</v>
      </c>
      <c r="F171" s="4" t="s">
        <v>1052</v>
      </c>
      <c r="G171" s="9" t="s">
        <v>2355</v>
      </c>
      <c r="H171" s="3">
        <v>1</v>
      </c>
      <c r="I171" s="3" t="s">
        <v>50</v>
      </c>
      <c r="J171" s="4" t="s">
        <v>769</v>
      </c>
      <c r="K171" s="4" t="s">
        <v>127</v>
      </c>
    </row>
    <row r="172" spans="1:11" ht="28.8" x14ac:dyDescent="0.3">
      <c r="A172" s="3" t="s">
        <v>1057</v>
      </c>
      <c r="B172" s="3" t="s">
        <v>773</v>
      </c>
      <c r="C172" s="3" t="s">
        <v>18</v>
      </c>
      <c r="D172" s="3">
        <v>2025</v>
      </c>
      <c r="E172" s="9" t="s">
        <v>1060</v>
      </c>
      <c r="F172" s="4" t="s">
        <v>1058</v>
      </c>
      <c r="G172" s="9" t="s">
        <v>2356</v>
      </c>
      <c r="H172" s="3">
        <v>1</v>
      </c>
      <c r="I172" s="3" t="s">
        <v>50</v>
      </c>
      <c r="J172" s="4" t="s">
        <v>769</v>
      </c>
      <c r="K172" s="4" t="s">
        <v>127</v>
      </c>
    </row>
    <row r="173" spans="1:11" ht="28.8" x14ac:dyDescent="0.3">
      <c r="A173" s="3" t="s">
        <v>1063</v>
      </c>
      <c r="B173" s="3" t="s">
        <v>773</v>
      </c>
      <c r="C173" s="3" t="s">
        <v>18</v>
      </c>
      <c r="D173" s="3">
        <v>2025</v>
      </c>
      <c r="E173" s="9" t="s">
        <v>1066</v>
      </c>
      <c r="F173" s="4" t="s">
        <v>1064</v>
      </c>
      <c r="G173" s="9" t="s">
        <v>2357</v>
      </c>
      <c r="H173" s="3">
        <v>1</v>
      </c>
      <c r="I173" s="3" t="s">
        <v>50</v>
      </c>
      <c r="J173" s="4" t="s">
        <v>769</v>
      </c>
      <c r="K173" s="4" t="s">
        <v>451</v>
      </c>
    </row>
    <row r="174" spans="1:11" x14ac:dyDescent="0.3">
      <c r="A174" s="3" t="s">
        <v>1069</v>
      </c>
      <c r="B174" s="3" t="s">
        <v>773</v>
      </c>
      <c r="C174" s="3" t="s">
        <v>18</v>
      </c>
      <c r="D174" s="3">
        <v>2025</v>
      </c>
      <c r="E174" s="9" t="s">
        <v>1072</v>
      </c>
      <c r="F174" s="4" t="s">
        <v>1070</v>
      </c>
      <c r="G174" s="9" t="s">
        <v>2358</v>
      </c>
      <c r="H174" s="3">
        <v>1</v>
      </c>
      <c r="I174" s="3" t="s">
        <v>50</v>
      </c>
      <c r="J174" s="4" t="s">
        <v>769</v>
      </c>
      <c r="K174" s="4" t="s">
        <v>286</v>
      </c>
    </row>
    <row r="175" spans="1:11" ht="28.8" x14ac:dyDescent="0.3">
      <c r="A175" s="3" t="s">
        <v>1075</v>
      </c>
      <c r="B175" s="3" t="s">
        <v>773</v>
      </c>
      <c r="C175" s="3" t="s">
        <v>18</v>
      </c>
      <c r="D175" s="3">
        <v>2025</v>
      </c>
      <c r="E175" s="9" t="s">
        <v>1078</v>
      </c>
      <c r="F175" s="4" t="s">
        <v>1076</v>
      </c>
      <c r="G175" s="9" t="s">
        <v>2359</v>
      </c>
      <c r="H175" s="3">
        <v>1</v>
      </c>
      <c r="I175" s="3" t="s">
        <v>50</v>
      </c>
      <c r="J175" s="4" t="s">
        <v>769</v>
      </c>
      <c r="K175" s="4" t="s">
        <v>66</v>
      </c>
    </row>
    <row r="176" spans="1:11" ht="43.2" x14ac:dyDescent="0.3">
      <c r="A176" s="3" t="s">
        <v>1081</v>
      </c>
      <c r="B176" s="3" t="s">
        <v>773</v>
      </c>
      <c r="C176" s="3" t="s">
        <v>18</v>
      </c>
      <c r="D176" s="3">
        <v>2025</v>
      </c>
      <c r="E176" s="9" t="s">
        <v>1084</v>
      </c>
      <c r="F176" s="4" t="s">
        <v>1082</v>
      </c>
      <c r="G176" s="9" t="s">
        <v>2360</v>
      </c>
      <c r="H176" s="3">
        <v>1</v>
      </c>
      <c r="I176" s="3" t="s">
        <v>50</v>
      </c>
      <c r="J176" s="4" t="s">
        <v>769</v>
      </c>
      <c r="K176" s="4" t="s">
        <v>127</v>
      </c>
    </row>
    <row r="177" spans="1:11" ht="28.8" x14ac:dyDescent="0.3">
      <c r="A177" s="3" t="s">
        <v>1087</v>
      </c>
      <c r="B177" s="3" t="s">
        <v>773</v>
      </c>
      <c r="C177" s="3" t="s">
        <v>18</v>
      </c>
      <c r="D177" s="3">
        <v>2022</v>
      </c>
      <c r="E177" s="9" t="s">
        <v>1090</v>
      </c>
      <c r="F177" s="4" t="s">
        <v>1088</v>
      </c>
      <c r="G177" s="9" t="s">
        <v>2361</v>
      </c>
      <c r="H177" s="3">
        <v>1</v>
      </c>
      <c r="I177" s="3" t="s">
        <v>50</v>
      </c>
      <c r="J177" s="4" t="s">
        <v>769</v>
      </c>
      <c r="K177" s="4" t="s">
        <v>66</v>
      </c>
    </row>
    <row r="178" spans="1:11" x14ac:dyDescent="0.3">
      <c r="A178" s="3" t="s">
        <v>1093</v>
      </c>
      <c r="B178" s="3" t="s">
        <v>773</v>
      </c>
      <c r="C178" s="3" t="s">
        <v>18</v>
      </c>
      <c r="D178" s="3">
        <v>2025</v>
      </c>
      <c r="E178" s="9" t="s">
        <v>1096</v>
      </c>
      <c r="F178" s="4" t="s">
        <v>1094</v>
      </c>
      <c r="G178" s="9" t="s">
        <v>2362</v>
      </c>
      <c r="H178" s="3">
        <v>1</v>
      </c>
      <c r="I178" s="3" t="s">
        <v>50</v>
      </c>
      <c r="J178" s="4" t="s">
        <v>769</v>
      </c>
      <c r="K178" s="4" t="s">
        <v>286</v>
      </c>
    </row>
    <row r="179" spans="1:11" ht="28.8" x14ac:dyDescent="0.3">
      <c r="A179" s="3" t="s">
        <v>1099</v>
      </c>
      <c r="B179" s="3" t="s">
        <v>773</v>
      </c>
      <c r="C179" s="3" t="s">
        <v>18</v>
      </c>
      <c r="D179" s="3">
        <v>2025</v>
      </c>
      <c r="E179" s="9" t="s">
        <v>1102</v>
      </c>
      <c r="F179" s="4" t="s">
        <v>1100</v>
      </c>
      <c r="G179" s="9" t="s">
        <v>2363</v>
      </c>
      <c r="H179" s="3">
        <v>1</v>
      </c>
      <c r="I179" s="3" t="s">
        <v>50</v>
      </c>
      <c r="J179" s="4" t="s">
        <v>769</v>
      </c>
      <c r="K179" s="4" t="s">
        <v>647</v>
      </c>
    </row>
    <row r="180" spans="1:11" ht="28.8" x14ac:dyDescent="0.3">
      <c r="A180" s="3" t="s">
        <v>1105</v>
      </c>
      <c r="B180" s="3" t="s">
        <v>773</v>
      </c>
      <c r="C180" s="3" t="s">
        <v>18</v>
      </c>
      <c r="D180" s="3">
        <v>2023</v>
      </c>
      <c r="E180" s="9" t="s">
        <v>1108</v>
      </c>
      <c r="F180" s="4" t="s">
        <v>1106</v>
      </c>
      <c r="G180" s="9" t="s">
        <v>2364</v>
      </c>
      <c r="H180" s="3">
        <v>1</v>
      </c>
      <c r="I180" s="3" t="s">
        <v>50</v>
      </c>
      <c r="J180" s="4" t="s">
        <v>769</v>
      </c>
      <c r="K180" s="4" t="s">
        <v>273</v>
      </c>
    </row>
    <row r="181" spans="1:11" ht="28.8" x14ac:dyDescent="0.3">
      <c r="A181" s="3" t="s">
        <v>1111</v>
      </c>
      <c r="B181" s="3" t="s">
        <v>773</v>
      </c>
      <c r="C181" s="3" t="s">
        <v>18</v>
      </c>
      <c r="D181" s="3">
        <v>2025</v>
      </c>
      <c r="E181" s="9" t="s">
        <v>1114</v>
      </c>
      <c r="F181" s="4" t="s">
        <v>1112</v>
      </c>
      <c r="G181" s="9" t="s">
        <v>2365</v>
      </c>
      <c r="H181" s="3">
        <v>1</v>
      </c>
      <c r="I181" s="3" t="s">
        <v>50</v>
      </c>
      <c r="J181" s="4" t="s">
        <v>769</v>
      </c>
      <c r="K181" s="4" t="s">
        <v>127</v>
      </c>
    </row>
    <row r="182" spans="1:11" ht="28.8" x14ac:dyDescent="0.3">
      <c r="A182" s="3" t="s">
        <v>1117</v>
      </c>
      <c r="B182" s="3" t="s">
        <v>773</v>
      </c>
      <c r="C182" s="3" t="s">
        <v>18</v>
      </c>
      <c r="D182" s="3">
        <v>2025</v>
      </c>
      <c r="E182" s="9" t="s">
        <v>1120</v>
      </c>
      <c r="F182" s="4" t="s">
        <v>1118</v>
      </c>
      <c r="G182" s="9" t="s">
        <v>2366</v>
      </c>
      <c r="H182" s="3">
        <v>1</v>
      </c>
      <c r="I182" s="3" t="s">
        <v>50</v>
      </c>
      <c r="J182" s="4" t="s">
        <v>769</v>
      </c>
      <c r="K182" s="4" t="s">
        <v>127</v>
      </c>
    </row>
    <row r="183" spans="1:11" ht="28.8" x14ac:dyDescent="0.3">
      <c r="A183" s="3" t="s">
        <v>1123</v>
      </c>
      <c r="B183" s="3" t="s">
        <v>773</v>
      </c>
      <c r="C183" s="3" t="s">
        <v>18</v>
      </c>
      <c r="D183" s="3">
        <v>2025</v>
      </c>
      <c r="E183" s="9" t="s">
        <v>1126</v>
      </c>
      <c r="F183" s="4" t="s">
        <v>1124</v>
      </c>
      <c r="G183" s="9" t="s">
        <v>2367</v>
      </c>
      <c r="H183" s="3">
        <v>1</v>
      </c>
      <c r="I183" s="3" t="s">
        <v>50</v>
      </c>
      <c r="J183" s="4" t="s">
        <v>769</v>
      </c>
      <c r="K183" s="4" t="s">
        <v>127</v>
      </c>
    </row>
    <row r="184" spans="1:11" ht="28.8" x14ac:dyDescent="0.3">
      <c r="A184" s="3" t="s">
        <v>1129</v>
      </c>
      <c r="B184" s="3" t="s">
        <v>773</v>
      </c>
      <c r="C184" s="3" t="s">
        <v>18</v>
      </c>
      <c r="D184" s="3">
        <v>2024</v>
      </c>
      <c r="E184" s="9" t="s">
        <v>1132</v>
      </c>
      <c r="F184" s="4" t="s">
        <v>1130</v>
      </c>
      <c r="G184" s="9" t="s">
        <v>2368</v>
      </c>
      <c r="H184" s="3">
        <v>1</v>
      </c>
      <c r="I184" s="3" t="s">
        <v>50</v>
      </c>
      <c r="J184" s="4" t="s">
        <v>769</v>
      </c>
      <c r="K184" s="4" t="s">
        <v>66</v>
      </c>
    </row>
    <row r="185" spans="1:11" ht="28.8" x14ac:dyDescent="0.3">
      <c r="A185" s="3" t="s">
        <v>1135</v>
      </c>
      <c r="B185" s="3" t="s">
        <v>773</v>
      </c>
      <c r="C185" s="3" t="s">
        <v>18</v>
      </c>
      <c r="D185" s="3">
        <v>2026</v>
      </c>
      <c r="E185" s="9" t="s">
        <v>1138</v>
      </c>
      <c r="F185" s="4" t="s">
        <v>1136</v>
      </c>
      <c r="G185" s="9" t="s">
        <v>2369</v>
      </c>
      <c r="H185" s="3">
        <v>1</v>
      </c>
      <c r="I185" s="3" t="s">
        <v>50</v>
      </c>
      <c r="J185" s="4" t="s">
        <v>769</v>
      </c>
      <c r="K185" s="4" t="s">
        <v>141</v>
      </c>
    </row>
    <row r="186" spans="1:11" ht="28.8" x14ac:dyDescent="0.3">
      <c r="A186" s="3" t="s">
        <v>1141</v>
      </c>
      <c r="B186" s="3" t="s">
        <v>773</v>
      </c>
      <c r="C186" s="3" t="s">
        <v>18</v>
      </c>
      <c r="D186" s="3">
        <v>2024</v>
      </c>
      <c r="E186" s="9" t="s">
        <v>1144</v>
      </c>
      <c r="F186" s="4" t="s">
        <v>1142</v>
      </c>
      <c r="G186" s="9" t="s">
        <v>2370</v>
      </c>
      <c r="H186" s="3">
        <v>1</v>
      </c>
      <c r="I186" s="3" t="s">
        <v>50</v>
      </c>
      <c r="J186" s="4" t="s">
        <v>769</v>
      </c>
      <c r="K186" s="4" t="s">
        <v>260</v>
      </c>
    </row>
    <row r="187" spans="1:11" ht="28.8" x14ac:dyDescent="0.3">
      <c r="A187" s="3" t="s">
        <v>1147</v>
      </c>
      <c r="B187" s="3" t="s">
        <v>773</v>
      </c>
      <c r="C187" s="3" t="s">
        <v>18</v>
      </c>
      <c r="D187" s="3">
        <v>2025</v>
      </c>
      <c r="E187" s="9" t="s">
        <v>1150</v>
      </c>
      <c r="F187" s="4" t="s">
        <v>1148</v>
      </c>
      <c r="G187" s="9" t="s">
        <v>2371</v>
      </c>
      <c r="H187" s="3">
        <v>1</v>
      </c>
      <c r="I187" s="3" t="s">
        <v>50</v>
      </c>
      <c r="J187" s="4" t="s">
        <v>769</v>
      </c>
      <c r="K187" s="4" t="s">
        <v>134</v>
      </c>
    </row>
    <row r="188" spans="1:11" x14ac:dyDescent="0.3">
      <c r="A188" s="3" t="s">
        <v>1153</v>
      </c>
      <c r="B188" s="3" t="s">
        <v>773</v>
      </c>
      <c r="C188" s="3" t="s">
        <v>18</v>
      </c>
      <c r="D188" s="3">
        <v>2025</v>
      </c>
      <c r="E188" s="9" t="s">
        <v>1156</v>
      </c>
      <c r="F188" s="4" t="s">
        <v>1154</v>
      </c>
      <c r="G188" s="9" t="s">
        <v>2372</v>
      </c>
      <c r="H188" s="3">
        <v>1</v>
      </c>
      <c r="I188" s="3" t="s">
        <v>50</v>
      </c>
      <c r="J188" s="4" t="s">
        <v>769</v>
      </c>
      <c r="K188" s="4" t="s">
        <v>37</v>
      </c>
    </row>
    <row r="189" spans="1:11" x14ac:dyDescent="0.3">
      <c r="A189" s="3" t="s">
        <v>1159</v>
      </c>
      <c r="B189" s="3" t="s">
        <v>773</v>
      </c>
      <c r="C189" s="3" t="s">
        <v>18</v>
      </c>
      <c r="D189" s="3">
        <v>2007</v>
      </c>
      <c r="E189" s="9" t="s">
        <v>1162</v>
      </c>
      <c r="F189" s="4" t="s">
        <v>1160</v>
      </c>
      <c r="G189" s="9" t="s">
        <v>2373</v>
      </c>
      <c r="H189" s="3">
        <v>1</v>
      </c>
      <c r="I189" s="3" t="s">
        <v>50</v>
      </c>
      <c r="J189" s="4" t="s">
        <v>769</v>
      </c>
      <c r="K189" s="4" t="s">
        <v>978</v>
      </c>
    </row>
    <row r="190" spans="1:11" ht="28.8" x14ac:dyDescent="0.3">
      <c r="A190" s="3" t="s">
        <v>1165</v>
      </c>
      <c r="B190" s="3" t="s">
        <v>773</v>
      </c>
      <c r="C190" s="3" t="s">
        <v>18</v>
      </c>
      <c r="D190" s="3">
        <v>2025</v>
      </c>
      <c r="E190" s="9" t="s">
        <v>1168</v>
      </c>
      <c r="F190" s="4" t="s">
        <v>1166</v>
      </c>
      <c r="G190" s="9" t="s">
        <v>2374</v>
      </c>
      <c r="H190" s="3">
        <v>1</v>
      </c>
      <c r="I190" s="3" t="s">
        <v>50</v>
      </c>
      <c r="J190" s="4" t="s">
        <v>769</v>
      </c>
      <c r="K190" s="4" t="s">
        <v>451</v>
      </c>
    </row>
    <row r="191" spans="1:11" ht="28.8" x14ac:dyDescent="0.3">
      <c r="A191" s="3" t="s">
        <v>1171</v>
      </c>
      <c r="B191" s="3" t="s">
        <v>773</v>
      </c>
      <c r="C191" s="3" t="s">
        <v>18</v>
      </c>
      <c r="D191" s="3">
        <v>2025</v>
      </c>
      <c r="E191" s="9" t="s">
        <v>1174</v>
      </c>
      <c r="F191" s="4" t="s">
        <v>1172</v>
      </c>
      <c r="G191" s="9" t="s">
        <v>2375</v>
      </c>
      <c r="H191" s="3">
        <v>1</v>
      </c>
      <c r="I191" s="3" t="s">
        <v>50</v>
      </c>
      <c r="J191" s="4" t="s">
        <v>769</v>
      </c>
      <c r="K191" s="4" t="s">
        <v>210</v>
      </c>
    </row>
    <row r="192" spans="1:11" ht="28.8" x14ac:dyDescent="0.3">
      <c r="A192" s="3" t="s">
        <v>1177</v>
      </c>
      <c r="B192" s="3" t="s">
        <v>773</v>
      </c>
      <c r="C192" s="3" t="s">
        <v>18</v>
      </c>
      <c r="D192" s="3">
        <v>2021</v>
      </c>
      <c r="E192" s="9" t="s">
        <v>1180</v>
      </c>
      <c r="F192" s="4" t="s">
        <v>1178</v>
      </c>
      <c r="G192" s="9" t="s">
        <v>2376</v>
      </c>
      <c r="H192" s="3">
        <v>1</v>
      </c>
      <c r="I192" s="3" t="s">
        <v>50</v>
      </c>
      <c r="J192" s="4" t="s">
        <v>769</v>
      </c>
      <c r="K192" s="4" t="s">
        <v>66</v>
      </c>
    </row>
    <row r="193" spans="1:11" ht="43.2" x14ac:dyDescent="0.3">
      <c r="A193" s="3" t="s">
        <v>1183</v>
      </c>
      <c r="B193" s="3" t="s">
        <v>773</v>
      </c>
      <c r="C193" s="3" t="s">
        <v>18</v>
      </c>
      <c r="D193" s="3">
        <v>2025</v>
      </c>
      <c r="E193" s="9" t="s">
        <v>1186</v>
      </c>
      <c r="F193" s="4" t="s">
        <v>1184</v>
      </c>
      <c r="G193" s="9" t="s">
        <v>2377</v>
      </c>
      <c r="H193" s="3">
        <v>1</v>
      </c>
      <c r="I193" s="3" t="s">
        <v>50</v>
      </c>
      <c r="J193" s="4" t="s">
        <v>769</v>
      </c>
      <c r="K193" s="4" t="s">
        <v>451</v>
      </c>
    </row>
    <row r="194" spans="1:11" x14ac:dyDescent="0.3">
      <c r="A194" s="3" t="s">
        <v>1189</v>
      </c>
      <c r="B194" s="3" t="s">
        <v>773</v>
      </c>
      <c r="C194" s="3" t="s">
        <v>18</v>
      </c>
      <c r="D194" s="3">
        <v>2013</v>
      </c>
      <c r="E194" s="9" t="s">
        <v>1192</v>
      </c>
      <c r="F194" s="4" t="s">
        <v>1190</v>
      </c>
      <c r="G194" s="9" t="s">
        <v>2378</v>
      </c>
      <c r="H194" s="3">
        <v>1</v>
      </c>
      <c r="I194" s="3" t="s">
        <v>50</v>
      </c>
      <c r="J194" s="4" t="s">
        <v>769</v>
      </c>
      <c r="K194" s="4" t="s">
        <v>66</v>
      </c>
    </row>
    <row r="195" spans="1:11" ht="28.8" x14ac:dyDescent="0.3">
      <c r="A195" s="3" t="s">
        <v>1195</v>
      </c>
      <c r="B195" s="3" t="s">
        <v>773</v>
      </c>
      <c r="C195" s="3" t="s">
        <v>18</v>
      </c>
      <c r="D195" s="3">
        <v>2025</v>
      </c>
      <c r="E195" s="9" t="s">
        <v>1198</v>
      </c>
      <c r="F195" s="4" t="s">
        <v>1196</v>
      </c>
      <c r="G195" s="9" t="s">
        <v>2379</v>
      </c>
      <c r="H195" s="3">
        <v>1</v>
      </c>
      <c r="I195" s="3" t="s">
        <v>50</v>
      </c>
      <c r="J195" s="4" t="s">
        <v>769</v>
      </c>
      <c r="K195" s="4" t="s">
        <v>37</v>
      </c>
    </row>
    <row r="196" spans="1:11" x14ac:dyDescent="0.3">
      <c r="A196" s="3" t="s">
        <v>1201</v>
      </c>
      <c r="B196" s="3" t="s">
        <v>773</v>
      </c>
      <c r="C196" s="3" t="s">
        <v>18</v>
      </c>
      <c r="D196" s="3">
        <v>2024</v>
      </c>
      <c r="E196" s="9" t="s">
        <v>1204</v>
      </c>
      <c r="F196" s="4" t="s">
        <v>1202</v>
      </c>
      <c r="G196" s="9" t="s">
        <v>2380</v>
      </c>
      <c r="H196" s="3">
        <v>1</v>
      </c>
      <c r="I196" s="3" t="s">
        <v>50</v>
      </c>
      <c r="J196" s="4" t="s">
        <v>769</v>
      </c>
      <c r="K196" s="4" t="s">
        <v>451</v>
      </c>
    </row>
    <row r="197" spans="1:11" ht="28.8" x14ac:dyDescent="0.3">
      <c r="A197" s="3" t="s">
        <v>1207</v>
      </c>
      <c r="B197" s="3" t="s">
        <v>773</v>
      </c>
      <c r="C197" s="3" t="s">
        <v>18</v>
      </c>
      <c r="D197" s="3">
        <v>2024</v>
      </c>
      <c r="E197" s="9" t="s">
        <v>1210</v>
      </c>
      <c r="F197" s="4" t="s">
        <v>1208</v>
      </c>
      <c r="G197" s="9" t="s">
        <v>2381</v>
      </c>
      <c r="H197" s="3">
        <v>1</v>
      </c>
      <c r="I197" s="3" t="s">
        <v>50</v>
      </c>
      <c r="J197" s="4" t="s">
        <v>769</v>
      </c>
      <c r="K197" s="4" t="s">
        <v>451</v>
      </c>
    </row>
    <row r="198" spans="1:11" x14ac:dyDescent="0.3">
      <c r="A198" s="3" t="s">
        <v>1213</v>
      </c>
      <c r="B198" s="3" t="s">
        <v>773</v>
      </c>
      <c r="C198" s="3" t="s">
        <v>18</v>
      </c>
      <c r="D198" s="3">
        <v>2025</v>
      </c>
      <c r="E198" s="9" t="s">
        <v>1216</v>
      </c>
      <c r="F198" s="4" t="s">
        <v>1214</v>
      </c>
      <c r="G198" s="9" t="s">
        <v>2382</v>
      </c>
      <c r="H198" s="3">
        <v>1</v>
      </c>
      <c r="I198" s="3" t="s">
        <v>50</v>
      </c>
      <c r="J198" s="4" t="s">
        <v>769</v>
      </c>
      <c r="K198" s="4" t="s">
        <v>127</v>
      </c>
    </row>
    <row r="199" spans="1:11" ht="43.2" x14ac:dyDescent="0.3">
      <c r="A199" s="3" t="s">
        <v>1219</v>
      </c>
      <c r="B199" s="3" t="s">
        <v>773</v>
      </c>
      <c r="C199" s="3" t="s">
        <v>18</v>
      </c>
      <c r="D199" s="3">
        <v>2024</v>
      </c>
      <c r="E199" s="9" t="s">
        <v>1222</v>
      </c>
      <c r="F199" s="4" t="s">
        <v>1220</v>
      </c>
      <c r="G199" s="9" t="s">
        <v>2383</v>
      </c>
      <c r="H199" s="3">
        <v>1</v>
      </c>
      <c r="I199" s="3" t="s">
        <v>50</v>
      </c>
      <c r="J199" s="4" t="s">
        <v>769</v>
      </c>
      <c r="K199" s="4" t="s">
        <v>260</v>
      </c>
    </row>
    <row r="200" spans="1:11" ht="28.8" x14ac:dyDescent="0.3">
      <c r="A200" s="3" t="s">
        <v>1225</v>
      </c>
      <c r="B200" s="3" t="s">
        <v>773</v>
      </c>
      <c r="C200" s="3" t="s">
        <v>18</v>
      </c>
      <c r="D200" s="3">
        <v>2024</v>
      </c>
      <c r="E200" s="9" t="s">
        <v>1228</v>
      </c>
      <c r="F200" s="4" t="s">
        <v>1226</v>
      </c>
      <c r="G200" s="9" t="s">
        <v>2384</v>
      </c>
      <c r="H200" s="3">
        <v>1</v>
      </c>
      <c r="I200" s="3" t="s">
        <v>50</v>
      </c>
      <c r="J200" s="4" t="s">
        <v>769</v>
      </c>
      <c r="K200" s="4" t="s">
        <v>66</v>
      </c>
    </row>
    <row r="201" spans="1:11" ht="28.8" x14ac:dyDescent="0.3">
      <c r="A201" s="3" t="s">
        <v>1231</v>
      </c>
      <c r="B201" s="3" t="s">
        <v>773</v>
      </c>
      <c r="C201" s="3" t="s">
        <v>18</v>
      </c>
      <c r="D201" s="3">
        <v>2025</v>
      </c>
      <c r="E201" s="9" t="s">
        <v>1234</v>
      </c>
      <c r="F201" s="4" t="s">
        <v>1232</v>
      </c>
      <c r="G201" s="9" t="s">
        <v>2385</v>
      </c>
      <c r="H201" s="3">
        <v>1</v>
      </c>
      <c r="I201" s="3" t="s">
        <v>50</v>
      </c>
      <c r="J201" s="4" t="s">
        <v>769</v>
      </c>
      <c r="K201" s="4" t="s">
        <v>885</v>
      </c>
    </row>
    <row r="202" spans="1:11" x14ac:dyDescent="0.3">
      <c r="A202" s="3" t="s">
        <v>1237</v>
      </c>
      <c r="B202" s="3" t="s">
        <v>773</v>
      </c>
      <c r="C202" s="3" t="s">
        <v>18</v>
      </c>
      <c r="D202" s="3">
        <v>2024</v>
      </c>
      <c r="E202" s="9" t="s">
        <v>1240</v>
      </c>
      <c r="F202" s="4" t="s">
        <v>1238</v>
      </c>
      <c r="G202" s="9" t="s">
        <v>2386</v>
      </c>
      <c r="H202" s="3">
        <v>1</v>
      </c>
      <c r="I202" s="3" t="s">
        <v>50</v>
      </c>
      <c r="J202" s="4" t="s">
        <v>769</v>
      </c>
      <c r="K202" s="4" t="s">
        <v>66</v>
      </c>
    </row>
    <row r="203" spans="1:11" ht="28.8" x14ac:dyDescent="0.3">
      <c r="A203" s="3" t="s">
        <v>1243</v>
      </c>
      <c r="B203" s="3" t="s">
        <v>773</v>
      </c>
      <c r="C203" s="3" t="s">
        <v>18</v>
      </c>
      <c r="D203" s="3">
        <v>2026</v>
      </c>
      <c r="E203" s="9" t="s">
        <v>1246</v>
      </c>
      <c r="F203" s="4" t="s">
        <v>1244</v>
      </c>
      <c r="G203" s="9" t="s">
        <v>2387</v>
      </c>
      <c r="H203" s="3">
        <v>1</v>
      </c>
      <c r="I203" s="3" t="s">
        <v>50</v>
      </c>
      <c r="J203" s="4" t="s">
        <v>769</v>
      </c>
      <c r="K203" s="4" t="s">
        <v>66</v>
      </c>
    </row>
    <row r="204" spans="1:11" ht="28.8" x14ac:dyDescent="0.3">
      <c r="A204" s="3" t="s">
        <v>1249</v>
      </c>
      <c r="B204" s="3" t="s">
        <v>773</v>
      </c>
      <c r="C204" s="3" t="s">
        <v>18</v>
      </c>
      <c r="D204" s="3">
        <v>2022</v>
      </c>
      <c r="E204" s="9" t="s">
        <v>1252</v>
      </c>
      <c r="F204" s="4" t="s">
        <v>1250</v>
      </c>
      <c r="G204" s="9" t="s">
        <v>2388</v>
      </c>
      <c r="H204" s="3">
        <v>1</v>
      </c>
      <c r="I204" s="3" t="s">
        <v>50</v>
      </c>
      <c r="J204" s="4" t="s">
        <v>769</v>
      </c>
      <c r="K204" s="4" t="s">
        <v>1255</v>
      </c>
    </row>
    <row r="205" spans="1:11" x14ac:dyDescent="0.3">
      <c r="A205" s="3" t="s">
        <v>1256</v>
      </c>
      <c r="B205" s="3" t="s">
        <v>773</v>
      </c>
      <c r="C205" s="3" t="s">
        <v>18</v>
      </c>
      <c r="D205" s="3">
        <v>2013</v>
      </c>
      <c r="E205" s="9" t="s">
        <v>1259</v>
      </c>
      <c r="F205" s="4" t="s">
        <v>1257</v>
      </c>
      <c r="G205" s="9" t="s">
        <v>2389</v>
      </c>
      <c r="H205" s="3">
        <v>1</v>
      </c>
      <c r="I205" s="3" t="s">
        <v>50</v>
      </c>
      <c r="J205" s="4" t="s">
        <v>769</v>
      </c>
      <c r="K205" s="4" t="s">
        <v>120</v>
      </c>
    </row>
    <row r="206" spans="1:11" ht="43.2" x14ac:dyDescent="0.3">
      <c r="A206" s="3" t="s">
        <v>1262</v>
      </c>
      <c r="B206" s="3" t="s">
        <v>773</v>
      </c>
      <c r="C206" s="3" t="s">
        <v>18</v>
      </c>
      <c r="D206" s="3">
        <v>2024</v>
      </c>
      <c r="E206" s="9" t="s">
        <v>1265</v>
      </c>
      <c r="F206" s="4" t="s">
        <v>1263</v>
      </c>
      <c r="G206" s="9" t="s">
        <v>2390</v>
      </c>
      <c r="H206" s="3">
        <v>1</v>
      </c>
      <c r="I206" s="3" t="s">
        <v>50</v>
      </c>
      <c r="J206" s="4" t="s">
        <v>769</v>
      </c>
      <c r="K206" s="4" t="s">
        <v>451</v>
      </c>
    </row>
    <row r="207" spans="1:11" ht="28.8" x14ac:dyDescent="0.3">
      <c r="A207" s="3" t="s">
        <v>1268</v>
      </c>
      <c r="B207" s="3" t="s">
        <v>773</v>
      </c>
      <c r="C207" s="3" t="s">
        <v>18</v>
      </c>
      <c r="D207" s="3">
        <v>2023</v>
      </c>
      <c r="E207" s="9" t="s">
        <v>1271</v>
      </c>
      <c r="F207" s="4" t="s">
        <v>1269</v>
      </c>
      <c r="G207" s="9" t="s">
        <v>2391</v>
      </c>
      <c r="H207" s="3">
        <v>1</v>
      </c>
      <c r="I207" s="3" t="s">
        <v>50</v>
      </c>
      <c r="J207" s="4" t="s">
        <v>769</v>
      </c>
      <c r="K207" s="4" t="s">
        <v>451</v>
      </c>
    </row>
    <row r="208" spans="1:11" ht="28.8" x14ac:dyDescent="0.3">
      <c r="A208" s="3" t="s">
        <v>1274</v>
      </c>
      <c r="B208" s="3" t="s">
        <v>773</v>
      </c>
      <c r="C208" s="3" t="s">
        <v>18</v>
      </c>
      <c r="D208" s="3">
        <v>2025</v>
      </c>
      <c r="E208" s="9" t="s">
        <v>1277</v>
      </c>
      <c r="F208" s="4" t="s">
        <v>1275</v>
      </c>
      <c r="G208" s="9" t="s">
        <v>2392</v>
      </c>
      <c r="H208" s="3">
        <v>1</v>
      </c>
      <c r="I208" s="3" t="s">
        <v>50</v>
      </c>
      <c r="J208" s="4" t="s">
        <v>769</v>
      </c>
      <c r="K208" s="4" t="s">
        <v>660</v>
      </c>
    </row>
    <row r="209" spans="1:11" ht="28.8" x14ac:dyDescent="0.3">
      <c r="A209" s="3" t="s">
        <v>1280</v>
      </c>
      <c r="B209" s="3" t="s">
        <v>773</v>
      </c>
      <c r="C209" s="3" t="s">
        <v>18</v>
      </c>
      <c r="D209" s="3">
        <v>2016</v>
      </c>
      <c r="E209" s="9" t="s">
        <v>1283</v>
      </c>
      <c r="F209" s="4" t="s">
        <v>1281</v>
      </c>
      <c r="G209" s="9" t="s">
        <v>2393</v>
      </c>
      <c r="H209" s="3">
        <v>1</v>
      </c>
      <c r="I209" s="3" t="s">
        <v>50</v>
      </c>
      <c r="J209" s="4" t="s">
        <v>769</v>
      </c>
      <c r="K209" s="4" t="s">
        <v>66</v>
      </c>
    </row>
    <row r="210" spans="1:11" ht="28.8" x14ac:dyDescent="0.3">
      <c r="A210" s="3" t="s">
        <v>1286</v>
      </c>
      <c r="B210" s="3" t="s">
        <v>773</v>
      </c>
      <c r="C210" s="3" t="s">
        <v>18</v>
      </c>
      <c r="D210" s="3">
        <v>2025</v>
      </c>
      <c r="E210" s="9" t="s">
        <v>1289</v>
      </c>
      <c r="F210" s="4" t="s">
        <v>1287</v>
      </c>
      <c r="G210" s="9" t="s">
        <v>2394</v>
      </c>
      <c r="H210" s="3">
        <v>1</v>
      </c>
      <c r="I210" s="3" t="s">
        <v>50</v>
      </c>
      <c r="J210" s="4" t="s">
        <v>769</v>
      </c>
      <c r="K210" s="4" t="s">
        <v>51</v>
      </c>
    </row>
    <row r="211" spans="1:11" ht="28.8" x14ac:dyDescent="0.3">
      <c r="A211" s="3" t="s">
        <v>1292</v>
      </c>
      <c r="B211" s="3" t="s">
        <v>773</v>
      </c>
      <c r="C211" s="3" t="s">
        <v>18</v>
      </c>
      <c r="D211" s="3">
        <v>2024</v>
      </c>
      <c r="E211" s="9" t="s">
        <v>1295</v>
      </c>
      <c r="F211" s="4" t="s">
        <v>1293</v>
      </c>
      <c r="G211" s="9" t="s">
        <v>2395</v>
      </c>
      <c r="H211" s="3">
        <v>1</v>
      </c>
      <c r="I211" s="3" t="s">
        <v>50</v>
      </c>
      <c r="J211" s="4" t="s">
        <v>769</v>
      </c>
      <c r="K211" s="4" t="s">
        <v>660</v>
      </c>
    </row>
    <row r="212" spans="1:11" ht="28.8" x14ac:dyDescent="0.3">
      <c r="A212" s="3" t="s">
        <v>1298</v>
      </c>
      <c r="B212" s="3" t="s">
        <v>773</v>
      </c>
      <c r="C212" s="3" t="s">
        <v>18</v>
      </c>
      <c r="D212" s="3">
        <v>2024</v>
      </c>
      <c r="E212" s="9" t="s">
        <v>1301</v>
      </c>
      <c r="F212" s="4" t="s">
        <v>1299</v>
      </c>
      <c r="G212" s="9" t="s">
        <v>2396</v>
      </c>
      <c r="H212" s="3">
        <v>1</v>
      </c>
      <c r="I212" s="3" t="s">
        <v>50</v>
      </c>
      <c r="J212" s="4" t="s">
        <v>769</v>
      </c>
      <c r="K212" s="4" t="s">
        <v>260</v>
      </c>
    </row>
    <row r="213" spans="1:11" ht="28.8" x14ac:dyDescent="0.3">
      <c r="A213" s="3" t="s">
        <v>1304</v>
      </c>
      <c r="B213" s="3" t="s">
        <v>773</v>
      </c>
      <c r="C213" s="3" t="s">
        <v>18</v>
      </c>
      <c r="D213" s="3">
        <v>2023</v>
      </c>
      <c r="E213" s="9" t="s">
        <v>1307</v>
      </c>
      <c r="F213" s="4" t="s">
        <v>1305</v>
      </c>
      <c r="G213" s="9" t="s">
        <v>2397</v>
      </c>
      <c r="H213" s="3">
        <v>1</v>
      </c>
      <c r="I213" s="3" t="s">
        <v>50</v>
      </c>
      <c r="J213" s="4" t="s">
        <v>769</v>
      </c>
      <c r="K213" s="4" t="s">
        <v>66</v>
      </c>
    </row>
    <row r="214" spans="1:11" ht="28.8" x14ac:dyDescent="0.3">
      <c r="A214" s="3" t="s">
        <v>1310</v>
      </c>
      <c r="B214" s="3" t="s">
        <v>773</v>
      </c>
      <c r="C214" s="3" t="s">
        <v>18</v>
      </c>
      <c r="D214" s="3">
        <v>2023</v>
      </c>
      <c r="E214" s="9" t="s">
        <v>1313</v>
      </c>
      <c r="F214" s="4" t="s">
        <v>1311</v>
      </c>
      <c r="G214" s="9" t="s">
        <v>2398</v>
      </c>
      <c r="H214" s="3">
        <v>1</v>
      </c>
      <c r="I214" s="3" t="s">
        <v>50</v>
      </c>
      <c r="J214" s="4" t="s">
        <v>769</v>
      </c>
      <c r="K214" s="4" t="s">
        <v>451</v>
      </c>
    </row>
    <row r="215" spans="1:11" ht="28.8" x14ac:dyDescent="0.3">
      <c r="A215" s="3" t="s">
        <v>1316</v>
      </c>
      <c r="B215" s="3" t="s">
        <v>773</v>
      </c>
      <c r="C215" s="3" t="s">
        <v>18</v>
      </c>
      <c r="D215" s="3">
        <v>2024</v>
      </c>
      <c r="E215" s="9" t="s">
        <v>1319</v>
      </c>
      <c r="F215" s="4" t="s">
        <v>1317</v>
      </c>
      <c r="G215" s="9" t="s">
        <v>2399</v>
      </c>
      <c r="H215" s="3">
        <v>1</v>
      </c>
      <c r="I215" s="3" t="s">
        <v>50</v>
      </c>
      <c r="J215" s="4" t="s">
        <v>769</v>
      </c>
      <c r="K215" s="4" t="s">
        <v>127</v>
      </c>
    </row>
    <row r="216" spans="1:11" ht="28.8" x14ac:dyDescent="0.3">
      <c r="A216" s="3" t="s">
        <v>1322</v>
      </c>
      <c r="B216" s="3" t="s">
        <v>773</v>
      </c>
      <c r="C216" s="3" t="s">
        <v>18</v>
      </c>
      <c r="D216" s="3">
        <v>2019</v>
      </c>
      <c r="E216" s="9" t="s">
        <v>1325</v>
      </c>
      <c r="F216" s="4" t="s">
        <v>1323</v>
      </c>
      <c r="G216" s="9" t="s">
        <v>2400</v>
      </c>
      <c r="H216" s="3">
        <v>1</v>
      </c>
      <c r="I216" s="3" t="s">
        <v>50</v>
      </c>
      <c r="J216" s="4" t="s">
        <v>769</v>
      </c>
      <c r="K216" s="4" t="s">
        <v>885</v>
      </c>
    </row>
    <row r="217" spans="1:11" x14ac:dyDescent="0.3">
      <c r="A217" s="3" t="s">
        <v>1328</v>
      </c>
      <c r="B217" s="3" t="s">
        <v>773</v>
      </c>
      <c r="C217" s="3" t="s">
        <v>18</v>
      </c>
      <c r="D217" s="3">
        <v>2014</v>
      </c>
      <c r="E217" s="9" t="s">
        <v>207</v>
      </c>
      <c r="F217" s="4" t="s">
        <v>1329</v>
      </c>
      <c r="G217" s="9" t="s">
        <v>2401</v>
      </c>
      <c r="H217" s="3">
        <v>1</v>
      </c>
      <c r="I217" s="3" t="s">
        <v>50</v>
      </c>
      <c r="J217" s="4" t="s">
        <v>769</v>
      </c>
      <c r="K217" s="4" t="s">
        <v>451</v>
      </c>
    </row>
    <row r="218" spans="1:11" ht="28.8" x14ac:dyDescent="0.3">
      <c r="A218" s="3" t="s">
        <v>1332</v>
      </c>
      <c r="B218" s="3" t="s">
        <v>773</v>
      </c>
      <c r="C218" s="3" t="s">
        <v>18</v>
      </c>
      <c r="D218" s="3">
        <v>2021</v>
      </c>
      <c r="E218" s="9" t="s">
        <v>1335</v>
      </c>
      <c r="F218" s="4" t="s">
        <v>1333</v>
      </c>
      <c r="G218" s="9" t="s">
        <v>2402</v>
      </c>
      <c r="H218" s="3">
        <v>1</v>
      </c>
      <c r="I218" s="3" t="s">
        <v>50</v>
      </c>
      <c r="J218" s="4" t="s">
        <v>769</v>
      </c>
      <c r="K218" s="4" t="s">
        <v>616</v>
      </c>
    </row>
    <row r="219" spans="1:11" ht="28.8" x14ac:dyDescent="0.3">
      <c r="A219" s="3" t="s">
        <v>1338</v>
      </c>
      <c r="B219" s="3" t="s">
        <v>773</v>
      </c>
      <c r="C219" s="3" t="s">
        <v>18</v>
      </c>
      <c r="D219" s="3">
        <v>2016</v>
      </c>
      <c r="E219" s="9" t="s">
        <v>1341</v>
      </c>
      <c r="F219" s="4" t="s">
        <v>1339</v>
      </c>
      <c r="G219" s="9" t="s">
        <v>2403</v>
      </c>
      <c r="H219" s="3">
        <v>1</v>
      </c>
      <c r="I219" s="3" t="s">
        <v>50</v>
      </c>
      <c r="J219" s="4" t="s">
        <v>769</v>
      </c>
      <c r="K219" s="4" t="s">
        <v>1344</v>
      </c>
    </row>
    <row r="220" spans="1:11" ht="28.8" x14ac:dyDescent="0.3">
      <c r="A220" s="3" t="s">
        <v>1345</v>
      </c>
      <c r="B220" s="3" t="s">
        <v>773</v>
      </c>
      <c r="C220" s="3" t="s">
        <v>18</v>
      </c>
      <c r="D220" s="3">
        <v>2018</v>
      </c>
      <c r="E220" s="9" t="s">
        <v>1348</v>
      </c>
      <c r="F220" s="4" t="s">
        <v>1346</v>
      </c>
      <c r="G220" s="9" t="s">
        <v>2404</v>
      </c>
      <c r="H220" s="3">
        <v>1</v>
      </c>
      <c r="I220" s="3" t="s">
        <v>50</v>
      </c>
      <c r="J220" s="4" t="s">
        <v>769</v>
      </c>
      <c r="K220" s="4" t="s">
        <v>451</v>
      </c>
    </row>
    <row r="221" spans="1:11" ht="28.8" x14ac:dyDescent="0.3">
      <c r="A221" s="3" t="s">
        <v>1351</v>
      </c>
      <c r="B221" s="3" t="s">
        <v>773</v>
      </c>
      <c r="C221" s="3" t="s">
        <v>18</v>
      </c>
      <c r="D221" s="3">
        <v>2023</v>
      </c>
      <c r="E221" s="9" t="s">
        <v>1354</v>
      </c>
      <c r="F221" s="4" t="s">
        <v>1352</v>
      </c>
      <c r="G221" s="9" t="s">
        <v>2405</v>
      </c>
      <c r="H221" s="3">
        <v>1</v>
      </c>
      <c r="I221" s="3" t="s">
        <v>50</v>
      </c>
      <c r="J221" s="4" t="s">
        <v>769</v>
      </c>
      <c r="K221" s="4" t="s">
        <v>127</v>
      </c>
    </row>
    <row r="222" spans="1:11" x14ac:dyDescent="0.3">
      <c r="A222" s="3" t="s">
        <v>1357</v>
      </c>
      <c r="B222" s="3" t="s">
        <v>773</v>
      </c>
      <c r="C222" s="3" t="s">
        <v>18</v>
      </c>
      <c r="D222" s="3">
        <v>2020</v>
      </c>
      <c r="E222" s="9" t="s">
        <v>1360</v>
      </c>
      <c r="F222" s="4" t="s">
        <v>1358</v>
      </c>
      <c r="G222" s="9" t="s">
        <v>2406</v>
      </c>
      <c r="H222" s="3">
        <v>1</v>
      </c>
      <c r="I222" s="3" t="s">
        <v>50</v>
      </c>
      <c r="J222" s="4" t="s">
        <v>769</v>
      </c>
      <c r="K222" s="4" t="s">
        <v>37</v>
      </c>
    </row>
    <row r="223" spans="1:11" ht="28.8" x14ac:dyDescent="0.3">
      <c r="A223" s="3" t="s">
        <v>1363</v>
      </c>
      <c r="B223" s="3" t="s">
        <v>773</v>
      </c>
      <c r="C223" s="3" t="s">
        <v>18</v>
      </c>
      <c r="D223" s="3">
        <v>2024</v>
      </c>
      <c r="E223" s="9" t="s">
        <v>1366</v>
      </c>
      <c r="F223" s="4" t="s">
        <v>1364</v>
      </c>
      <c r="G223" s="9" t="s">
        <v>2407</v>
      </c>
      <c r="H223" s="3">
        <v>1</v>
      </c>
      <c r="I223" s="3" t="s">
        <v>50</v>
      </c>
      <c r="J223" s="4" t="s">
        <v>769</v>
      </c>
      <c r="K223" s="4" t="s">
        <v>451</v>
      </c>
    </row>
    <row r="224" spans="1:11" x14ac:dyDescent="0.3">
      <c r="A224" s="3" t="s">
        <v>1369</v>
      </c>
      <c r="B224" s="3" t="s">
        <v>773</v>
      </c>
      <c r="C224" s="3" t="s">
        <v>18</v>
      </c>
      <c r="D224" s="3">
        <v>2016</v>
      </c>
      <c r="E224" s="9" t="s">
        <v>1372</v>
      </c>
      <c r="F224" s="4" t="s">
        <v>1370</v>
      </c>
      <c r="G224" s="9" t="s">
        <v>2408</v>
      </c>
      <c r="H224" s="3">
        <v>1</v>
      </c>
      <c r="I224" s="3" t="s">
        <v>50</v>
      </c>
      <c r="J224" s="4" t="s">
        <v>769</v>
      </c>
      <c r="K224" s="4" t="s">
        <v>1344</v>
      </c>
    </row>
    <row r="225" spans="1:11" ht="28.8" x14ac:dyDescent="0.3">
      <c r="A225" s="3" t="s">
        <v>1375</v>
      </c>
      <c r="B225" s="3" t="s">
        <v>773</v>
      </c>
      <c r="C225" s="3" t="s">
        <v>18</v>
      </c>
      <c r="D225" s="3">
        <v>2014</v>
      </c>
      <c r="E225" s="9" t="s">
        <v>1378</v>
      </c>
      <c r="F225" s="4" t="s">
        <v>1376</v>
      </c>
      <c r="G225" s="9" t="s">
        <v>2409</v>
      </c>
      <c r="H225" s="3">
        <v>1</v>
      </c>
      <c r="I225" s="3" t="s">
        <v>50</v>
      </c>
      <c r="J225" s="4" t="s">
        <v>769</v>
      </c>
      <c r="K225" s="4" t="s">
        <v>451</v>
      </c>
    </row>
    <row r="226" spans="1:11" x14ac:dyDescent="0.3">
      <c r="A226" s="3" t="s">
        <v>1381</v>
      </c>
      <c r="B226" s="3" t="s">
        <v>773</v>
      </c>
      <c r="C226" s="3" t="s">
        <v>18</v>
      </c>
      <c r="D226" s="3">
        <v>2014</v>
      </c>
      <c r="E226" s="9" t="s">
        <v>1384</v>
      </c>
      <c r="F226" s="4" t="s">
        <v>1382</v>
      </c>
      <c r="G226" s="9" t="s">
        <v>2410</v>
      </c>
      <c r="H226" s="3">
        <v>1</v>
      </c>
      <c r="I226" s="3" t="s">
        <v>50</v>
      </c>
      <c r="J226" s="4" t="s">
        <v>769</v>
      </c>
      <c r="K226" s="4" t="s">
        <v>66</v>
      </c>
    </row>
    <row r="227" spans="1:11" ht="43.2" x14ac:dyDescent="0.3">
      <c r="A227" s="3" t="s">
        <v>1387</v>
      </c>
      <c r="B227" s="3" t="s">
        <v>773</v>
      </c>
      <c r="C227" s="3" t="s">
        <v>18</v>
      </c>
      <c r="D227" s="3">
        <v>2024</v>
      </c>
      <c r="E227" s="9" t="s">
        <v>1390</v>
      </c>
      <c r="F227" s="4" t="s">
        <v>1388</v>
      </c>
      <c r="G227" s="9" t="s">
        <v>2411</v>
      </c>
      <c r="H227" s="3">
        <v>1</v>
      </c>
      <c r="I227" s="3" t="s">
        <v>50</v>
      </c>
      <c r="J227" s="4" t="s">
        <v>769</v>
      </c>
      <c r="K227" s="4" t="s">
        <v>451</v>
      </c>
    </row>
    <row r="228" spans="1:11" ht="28.8" x14ac:dyDescent="0.3">
      <c r="A228" s="3" t="s">
        <v>1393</v>
      </c>
      <c r="B228" s="3" t="s">
        <v>773</v>
      </c>
      <c r="C228" s="3" t="s">
        <v>18</v>
      </c>
      <c r="D228" s="3">
        <v>2025</v>
      </c>
      <c r="E228" s="9" t="s">
        <v>1396</v>
      </c>
      <c r="F228" s="4" t="s">
        <v>1394</v>
      </c>
      <c r="G228" s="9" t="s">
        <v>2412</v>
      </c>
      <c r="H228" s="3">
        <v>1</v>
      </c>
      <c r="I228" s="3" t="s">
        <v>50</v>
      </c>
      <c r="J228" s="4" t="s">
        <v>769</v>
      </c>
      <c r="K228" s="4" t="s">
        <v>451</v>
      </c>
    </row>
    <row r="229" spans="1:11" ht="28.8" x14ac:dyDescent="0.3">
      <c r="A229" s="3" t="s">
        <v>1399</v>
      </c>
      <c r="B229" s="3" t="s">
        <v>773</v>
      </c>
      <c r="C229" s="3" t="s">
        <v>18</v>
      </c>
      <c r="D229" s="3">
        <v>2014</v>
      </c>
      <c r="E229" s="9" t="s">
        <v>1402</v>
      </c>
      <c r="F229" s="4" t="s">
        <v>1400</v>
      </c>
      <c r="G229" s="9" t="s">
        <v>2413</v>
      </c>
      <c r="H229" s="3">
        <v>1</v>
      </c>
      <c r="I229" s="3" t="s">
        <v>50</v>
      </c>
      <c r="J229" s="4" t="s">
        <v>769</v>
      </c>
      <c r="K229" s="4" t="s">
        <v>451</v>
      </c>
    </row>
    <row r="230" spans="1:11" x14ac:dyDescent="0.3">
      <c r="A230" s="3" t="s">
        <v>1405</v>
      </c>
      <c r="B230" s="3" t="s">
        <v>773</v>
      </c>
      <c r="C230" s="3" t="s">
        <v>18</v>
      </c>
      <c r="D230" s="3">
        <v>2019</v>
      </c>
      <c r="E230" s="9" t="s">
        <v>1408</v>
      </c>
      <c r="F230" s="4" t="s">
        <v>1406</v>
      </c>
      <c r="G230" s="9" t="s">
        <v>2414</v>
      </c>
      <c r="H230" s="3">
        <v>1</v>
      </c>
      <c r="I230" s="3" t="s">
        <v>50</v>
      </c>
      <c r="J230" s="4" t="s">
        <v>769</v>
      </c>
      <c r="K230" s="4" t="s">
        <v>127</v>
      </c>
    </row>
    <row r="231" spans="1:11" ht="28.8" x14ac:dyDescent="0.3">
      <c r="A231" s="3" t="s">
        <v>1411</v>
      </c>
      <c r="B231" s="3" t="s">
        <v>773</v>
      </c>
      <c r="C231" s="3" t="s">
        <v>18</v>
      </c>
      <c r="D231" s="3">
        <v>2014</v>
      </c>
      <c r="E231" s="9" t="s">
        <v>1414</v>
      </c>
      <c r="F231" s="4" t="s">
        <v>1412</v>
      </c>
      <c r="G231" s="9" t="s">
        <v>2415</v>
      </c>
      <c r="H231" s="3">
        <v>1</v>
      </c>
      <c r="I231" s="3" t="s">
        <v>50</v>
      </c>
      <c r="J231" s="4" t="s">
        <v>769</v>
      </c>
      <c r="K231" s="4" t="s">
        <v>1344</v>
      </c>
    </row>
    <row r="232" spans="1:11" ht="28.8" x14ac:dyDescent="0.3">
      <c r="A232" s="3" t="s">
        <v>1417</v>
      </c>
      <c r="B232" s="3" t="s">
        <v>773</v>
      </c>
      <c r="C232" s="3" t="s">
        <v>18</v>
      </c>
      <c r="D232" s="3">
        <v>2013</v>
      </c>
      <c r="E232" s="9" t="s">
        <v>1420</v>
      </c>
      <c r="F232" s="4" t="s">
        <v>1418</v>
      </c>
      <c r="G232" s="9" t="s">
        <v>2416</v>
      </c>
      <c r="H232" s="3">
        <v>1</v>
      </c>
      <c r="I232" s="3" t="s">
        <v>50</v>
      </c>
      <c r="J232" s="4" t="s">
        <v>769</v>
      </c>
      <c r="K232" s="4" t="s">
        <v>120</v>
      </c>
    </row>
    <row r="233" spans="1:11" ht="43.2" x14ac:dyDescent="0.3">
      <c r="A233" s="3" t="s">
        <v>1423</v>
      </c>
      <c r="B233" s="3" t="s">
        <v>773</v>
      </c>
      <c r="C233" s="3" t="s">
        <v>18</v>
      </c>
      <c r="D233" s="3">
        <v>2015</v>
      </c>
      <c r="E233" s="9" t="s">
        <v>1426</v>
      </c>
      <c r="F233" s="4" t="s">
        <v>1424</v>
      </c>
      <c r="G233" s="9" t="s">
        <v>2417</v>
      </c>
      <c r="H233" s="3">
        <v>1</v>
      </c>
      <c r="I233" s="3" t="s">
        <v>50</v>
      </c>
      <c r="J233" s="4" t="s">
        <v>769</v>
      </c>
      <c r="K233" s="4" t="s">
        <v>451</v>
      </c>
    </row>
    <row r="234" spans="1:11" ht="28.8" x14ac:dyDescent="0.3">
      <c r="A234" s="3" t="s">
        <v>1429</v>
      </c>
      <c r="B234" s="3" t="s">
        <v>773</v>
      </c>
      <c r="C234" s="3" t="s">
        <v>18</v>
      </c>
      <c r="D234" s="3">
        <v>2022</v>
      </c>
      <c r="E234" s="9" t="s">
        <v>207</v>
      </c>
      <c r="F234" s="4" t="s">
        <v>1430</v>
      </c>
      <c r="G234" s="9" t="s">
        <v>2418</v>
      </c>
      <c r="H234" s="3">
        <v>1</v>
      </c>
      <c r="I234" s="3" t="s">
        <v>50</v>
      </c>
      <c r="J234" s="4" t="s">
        <v>769</v>
      </c>
      <c r="K234" s="4" t="s">
        <v>1344</v>
      </c>
    </row>
    <row r="235" spans="1:11" ht="28.8" x14ac:dyDescent="0.3">
      <c r="A235" s="3" t="s">
        <v>1433</v>
      </c>
      <c r="B235" s="3" t="s">
        <v>773</v>
      </c>
      <c r="C235" s="3" t="s">
        <v>18</v>
      </c>
      <c r="D235" s="3">
        <v>2019</v>
      </c>
      <c r="E235" s="9" t="s">
        <v>1436</v>
      </c>
      <c r="F235" s="4" t="s">
        <v>1434</v>
      </c>
      <c r="G235" s="9" t="s">
        <v>2419</v>
      </c>
      <c r="H235" s="3">
        <v>1</v>
      </c>
      <c r="I235" s="3" t="s">
        <v>50</v>
      </c>
      <c r="J235" s="4" t="s">
        <v>769</v>
      </c>
      <c r="K235" s="4" t="s">
        <v>451</v>
      </c>
    </row>
    <row r="236" spans="1:11" ht="28.8" x14ac:dyDescent="0.3">
      <c r="A236" s="3" t="s">
        <v>1439</v>
      </c>
      <c r="B236" s="3" t="s">
        <v>773</v>
      </c>
      <c r="C236" s="3" t="s">
        <v>18</v>
      </c>
      <c r="D236" s="3">
        <v>2002</v>
      </c>
      <c r="E236" s="9" t="s">
        <v>1442</v>
      </c>
      <c r="F236" s="4" t="s">
        <v>1440</v>
      </c>
      <c r="G236" s="9" t="s">
        <v>2420</v>
      </c>
      <c r="H236" s="3">
        <v>1</v>
      </c>
      <c r="I236" s="3" t="s">
        <v>50</v>
      </c>
      <c r="J236" s="4" t="s">
        <v>769</v>
      </c>
      <c r="K236" s="4" t="s">
        <v>1445</v>
      </c>
    </row>
    <row r="237" spans="1:11" ht="28.8" x14ac:dyDescent="0.3">
      <c r="A237" s="3" t="s">
        <v>1446</v>
      </c>
      <c r="B237" s="3" t="s">
        <v>773</v>
      </c>
      <c r="C237" s="3" t="s">
        <v>18</v>
      </c>
      <c r="D237" s="3">
        <v>2017</v>
      </c>
      <c r="E237" s="9" t="s">
        <v>1449</v>
      </c>
      <c r="F237" s="4" t="s">
        <v>1447</v>
      </c>
      <c r="G237" s="9" t="s">
        <v>2421</v>
      </c>
      <c r="H237" s="3">
        <v>1</v>
      </c>
      <c r="I237" s="3" t="s">
        <v>50</v>
      </c>
      <c r="J237" s="4" t="s">
        <v>769</v>
      </c>
      <c r="K237" s="4" t="s">
        <v>127</v>
      </c>
    </row>
    <row r="238" spans="1:11" x14ac:dyDescent="0.3">
      <c r="A238" s="3" t="s">
        <v>1452</v>
      </c>
      <c r="B238" s="3" t="s">
        <v>773</v>
      </c>
      <c r="C238" s="3" t="s">
        <v>18</v>
      </c>
      <c r="D238" s="3">
        <v>2017</v>
      </c>
      <c r="E238" s="9" t="s">
        <v>1455</v>
      </c>
      <c r="F238" s="4" t="s">
        <v>1453</v>
      </c>
      <c r="G238" s="9" t="s">
        <v>2422</v>
      </c>
      <c r="H238" s="3">
        <v>1</v>
      </c>
      <c r="I238" s="3" t="s">
        <v>50</v>
      </c>
      <c r="J238" s="4" t="s">
        <v>769</v>
      </c>
      <c r="K238" s="4" t="s">
        <v>451</v>
      </c>
    </row>
    <row r="239" spans="1:11" x14ac:dyDescent="0.3">
      <c r="A239" s="3" t="s">
        <v>1458</v>
      </c>
      <c r="B239" s="3" t="s">
        <v>773</v>
      </c>
      <c r="C239" s="3" t="s">
        <v>18</v>
      </c>
      <c r="D239" s="3">
        <v>2016</v>
      </c>
      <c r="E239" s="9" t="s">
        <v>1461</v>
      </c>
      <c r="F239" s="4" t="s">
        <v>1459</v>
      </c>
      <c r="G239" s="9" t="s">
        <v>2423</v>
      </c>
      <c r="H239" s="3">
        <v>1</v>
      </c>
      <c r="I239" s="3" t="s">
        <v>50</v>
      </c>
      <c r="J239" s="4" t="s">
        <v>769</v>
      </c>
      <c r="K239" s="4" t="s">
        <v>127</v>
      </c>
    </row>
    <row r="240" spans="1:11" ht="28.8" x14ac:dyDescent="0.3">
      <c r="A240" s="3" t="s">
        <v>1464</v>
      </c>
      <c r="B240" s="3" t="s">
        <v>773</v>
      </c>
      <c r="C240" s="3" t="s">
        <v>18</v>
      </c>
      <c r="D240" s="3">
        <v>2013</v>
      </c>
      <c r="E240" s="9" t="s">
        <v>1467</v>
      </c>
      <c r="F240" s="4" t="s">
        <v>1465</v>
      </c>
      <c r="G240" s="9" t="s">
        <v>2424</v>
      </c>
      <c r="H240" s="3">
        <v>1</v>
      </c>
      <c r="I240" s="3" t="s">
        <v>50</v>
      </c>
      <c r="J240" s="4" t="s">
        <v>769</v>
      </c>
      <c r="K240" s="4" t="s">
        <v>127</v>
      </c>
    </row>
    <row r="241" spans="1:11" x14ac:dyDescent="0.3">
      <c r="A241" s="3" t="s">
        <v>1470</v>
      </c>
      <c r="B241" s="3" t="s">
        <v>773</v>
      </c>
      <c r="C241" s="3" t="s">
        <v>18</v>
      </c>
      <c r="D241" s="3">
        <v>2017</v>
      </c>
      <c r="E241" s="9" t="s">
        <v>207</v>
      </c>
      <c r="F241" s="4" t="s">
        <v>1471</v>
      </c>
      <c r="G241" s="9" t="s">
        <v>2425</v>
      </c>
      <c r="H241" s="3">
        <v>1</v>
      </c>
      <c r="I241" s="3" t="s">
        <v>50</v>
      </c>
      <c r="J241" s="4" t="s">
        <v>769</v>
      </c>
      <c r="K241" s="4" t="s">
        <v>451</v>
      </c>
    </row>
    <row r="242" spans="1:11" ht="28.8" x14ac:dyDescent="0.3">
      <c r="A242" s="3" t="s">
        <v>1474</v>
      </c>
      <c r="B242" s="3" t="s">
        <v>773</v>
      </c>
      <c r="C242" s="3" t="s">
        <v>18</v>
      </c>
      <c r="D242" s="3">
        <v>2017</v>
      </c>
      <c r="E242" s="9" t="s">
        <v>207</v>
      </c>
      <c r="F242" s="4" t="s">
        <v>1475</v>
      </c>
      <c r="G242" s="9" t="s">
        <v>2426</v>
      </c>
      <c r="H242" s="3">
        <v>1</v>
      </c>
      <c r="I242" s="3" t="s">
        <v>50</v>
      </c>
      <c r="J242" s="4" t="s">
        <v>769</v>
      </c>
      <c r="K242" s="4" t="s">
        <v>451</v>
      </c>
    </row>
    <row r="243" spans="1:11" ht="28.8" x14ac:dyDescent="0.3">
      <c r="A243" s="3" t="s">
        <v>1478</v>
      </c>
      <c r="B243" s="3" t="s">
        <v>773</v>
      </c>
      <c r="C243" s="3" t="s">
        <v>18</v>
      </c>
      <c r="D243" s="3">
        <v>1993</v>
      </c>
      <c r="E243" s="9" t="s">
        <v>1481</v>
      </c>
      <c r="F243" s="4" t="s">
        <v>1479</v>
      </c>
      <c r="G243" s="9" t="s">
        <v>2427</v>
      </c>
      <c r="H243" s="3">
        <v>1</v>
      </c>
      <c r="I243" s="3" t="s">
        <v>50</v>
      </c>
      <c r="J243" s="4" t="s">
        <v>769</v>
      </c>
      <c r="K243" s="4" t="s">
        <v>451</v>
      </c>
    </row>
    <row r="244" spans="1:11" ht="28.8" x14ac:dyDescent="0.3">
      <c r="A244" s="3" t="s">
        <v>1484</v>
      </c>
      <c r="B244" s="3" t="s">
        <v>773</v>
      </c>
      <c r="C244" s="3" t="s">
        <v>18</v>
      </c>
      <c r="D244" s="3">
        <v>1993</v>
      </c>
      <c r="E244" s="9" t="s">
        <v>1487</v>
      </c>
      <c r="F244" s="4" t="s">
        <v>1485</v>
      </c>
      <c r="G244" s="9" t="s">
        <v>2428</v>
      </c>
      <c r="H244" s="3">
        <v>1</v>
      </c>
      <c r="I244" s="3" t="s">
        <v>50</v>
      </c>
      <c r="J244" s="4" t="s">
        <v>769</v>
      </c>
      <c r="K244" s="4" t="s">
        <v>451</v>
      </c>
    </row>
    <row r="245" spans="1:11" x14ac:dyDescent="0.3">
      <c r="A245" s="3" t="s">
        <v>1491</v>
      </c>
      <c r="B245" s="3" t="s">
        <v>1494</v>
      </c>
      <c r="C245" s="3" t="s">
        <v>18</v>
      </c>
      <c r="D245" s="3">
        <v>2025</v>
      </c>
      <c r="E245" s="9" t="s">
        <v>1495</v>
      </c>
      <c r="F245" s="4" t="s">
        <v>1492</v>
      </c>
      <c r="G245" s="9" t="s">
        <v>2429</v>
      </c>
      <c r="H245" s="3">
        <v>1</v>
      </c>
      <c r="I245" s="3" t="s">
        <v>22</v>
      </c>
      <c r="J245" s="4" t="s">
        <v>1489</v>
      </c>
      <c r="K245" s="4" t="s">
        <v>161</v>
      </c>
    </row>
    <row r="246" spans="1:11" ht="28.8" x14ac:dyDescent="0.3">
      <c r="A246" s="3" t="s">
        <v>1498</v>
      </c>
      <c r="B246" s="3" t="s">
        <v>1494</v>
      </c>
      <c r="C246" s="3" t="s">
        <v>18</v>
      </c>
      <c r="D246" s="3">
        <v>2025</v>
      </c>
      <c r="E246" s="9" t="s">
        <v>1501</v>
      </c>
      <c r="F246" s="4" t="s">
        <v>1499</v>
      </c>
      <c r="G246" s="9" t="s">
        <v>2430</v>
      </c>
      <c r="H246" s="3">
        <v>1</v>
      </c>
      <c r="I246" s="3" t="s">
        <v>22</v>
      </c>
      <c r="J246" s="4" t="s">
        <v>1489</v>
      </c>
      <c r="K246" s="4" t="s">
        <v>66</v>
      </c>
    </row>
    <row r="247" spans="1:11" ht="28.8" x14ac:dyDescent="0.3">
      <c r="A247" s="3" t="s">
        <v>1504</v>
      </c>
      <c r="B247" s="3" t="s">
        <v>1494</v>
      </c>
      <c r="C247" s="3" t="s">
        <v>18</v>
      </c>
      <c r="D247" s="3">
        <v>2025</v>
      </c>
      <c r="E247" s="9" t="s">
        <v>232</v>
      </c>
      <c r="F247" s="4" t="s">
        <v>230</v>
      </c>
      <c r="G247" s="9" t="s">
        <v>2221</v>
      </c>
      <c r="H247" s="3">
        <v>0</v>
      </c>
      <c r="I247" s="3" t="s">
        <v>22</v>
      </c>
      <c r="J247" s="4" t="s">
        <v>1489</v>
      </c>
      <c r="K247" s="4" t="s">
        <v>235</v>
      </c>
    </row>
    <row r="248" spans="1:11" ht="28.8" x14ac:dyDescent="0.3">
      <c r="A248" s="3" t="s">
        <v>1507</v>
      </c>
      <c r="B248" s="3" t="s">
        <v>1494</v>
      </c>
      <c r="C248" s="3" t="s">
        <v>18</v>
      </c>
      <c r="D248" s="3">
        <v>2024</v>
      </c>
      <c r="E248" s="9" t="s">
        <v>1510</v>
      </c>
      <c r="F248" s="4" t="s">
        <v>1508</v>
      </c>
      <c r="G248" s="9" t="s">
        <v>2431</v>
      </c>
      <c r="H248" s="3">
        <v>1</v>
      </c>
      <c r="I248" s="3" t="s">
        <v>22</v>
      </c>
      <c r="J248" s="4" t="s">
        <v>1489</v>
      </c>
      <c r="K248" s="4" t="s">
        <v>1513</v>
      </c>
    </row>
    <row r="249" spans="1:11" ht="28.8" x14ac:dyDescent="0.3">
      <c r="A249" s="3" t="s">
        <v>1514</v>
      </c>
      <c r="B249" s="3" t="s">
        <v>1494</v>
      </c>
      <c r="C249" s="3" t="s">
        <v>18</v>
      </c>
      <c r="D249" s="3">
        <v>2026</v>
      </c>
      <c r="E249" s="9" t="s">
        <v>1517</v>
      </c>
      <c r="F249" s="4" t="s">
        <v>1515</v>
      </c>
      <c r="G249" s="9" t="s">
        <v>2432</v>
      </c>
      <c r="H249" s="3">
        <v>1</v>
      </c>
      <c r="I249" s="3" t="s">
        <v>22</v>
      </c>
      <c r="J249" s="4" t="s">
        <v>1489</v>
      </c>
      <c r="K249" s="4" t="s">
        <v>579</v>
      </c>
    </row>
    <row r="250" spans="1:11" ht="43.2" x14ac:dyDescent="0.3">
      <c r="A250" s="3" t="s">
        <v>1520</v>
      </c>
      <c r="B250" s="3" t="s">
        <v>1494</v>
      </c>
      <c r="C250" s="3" t="s">
        <v>18</v>
      </c>
      <c r="D250" s="3">
        <v>2025</v>
      </c>
      <c r="E250" s="9" t="s">
        <v>70</v>
      </c>
      <c r="F250" s="4" t="s">
        <v>68</v>
      </c>
      <c r="G250" s="9" t="s">
        <v>2196</v>
      </c>
      <c r="H250" s="3">
        <v>0</v>
      </c>
      <c r="I250" s="3" t="s">
        <v>22</v>
      </c>
      <c r="J250" s="4" t="s">
        <v>1489</v>
      </c>
      <c r="K250" s="4" t="s">
        <v>23</v>
      </c>
    </row>
    <row r="251" spans="1:11" ht="28.8" x14ac:dyDescent="0.3">
      <c r="A251" s="3" t="s">
        <v>1524</v>
      </c>
      <c r="B251" s="3" t="s">
        <v>1494</v>
      </c>
      <c r="C251" s="3" t="s">
        <v>18</v>
      </c>
      <c r="D251" s="3">
        <v>2026</v>
      </c>
      <c r="E251" s="9" t="s">
        <v>387</v>
      </c>
      <c r="F251" s="4" t="s">
        <v>385</v>
      </c>
      <c r="G251" s="9" t="s">
        <v>2246</v>
      </c>
      <c r="H251" s="3">
        <v>0</v>
      </c>
      <c r="I251" s="3" t="s">
        <v>22</v>
      </c>
      <c r="J251" s="4" t="s">
        <v>1489</v>
      </c>
      <c r="K251" s="4" t="s">
        <v>23</v>
      </c>
    </row>
    <row r="252" spans="1:11" ht="28.8" x14ac:dyDescent="0.3">
      <c r="A252" s="3" t="s">
        <v>1527</v>
      </c>
      <c r="B252" s="3" t="s">
        <v>1494</v>
      </c>
      <c r="C252" s="3" t="s">
        <v>18</v>
      </c>
      <c r="D252" s="3">
        <v>2025</v>
      </c>
      <c r="E252" s="9" t="s">
        <v>1530</v>
      </c>
      <c r="F252" s="4" t="s">
        <v>1528</v>
      </c>
      <c r="G252" s="9" t="s">
        <v>2433</v>
      </c>
      <c r="H252" s="3">
        <v>1</v>
      </c>
      <c r="I252" s="3" t="s">
        <v>22</v>
      </c>
      <c r="J252" s="4" t="s">
        <v>1489</v>
      </c>
      <c r="K252" s="4" t="s">
        <v>37</v>
      </c>
    </row>
    <row r="253" spans="1:11" ht="43.2" x14ac:dyDescent="0.3">
      <c r="A253" s="3" t="s">
        <v>1533</v>
      </c>
      <c r="B253" s="3" t="s">
        <v>1494</v>
      </c>
      <c r="C253" s="3" t="s">
        <v>18</v>
      </c>
      <c r="D253" s="3">
        <v>2025</v>
      </c>
      <c r="E253" s="9" t="s">
        <v>1536</v>
      </c>
      <c r="F253" s="4" t="s">
        <v>1534</v>
      </c>
      <c r="G253" s="9" t="s">
        <v>2434</v>
      </c>
      <c r="H253" s="3">
        <v>1</v>
      </c>
      <c r="I253" s="3" t="s">
        <v>22</v>
      </c>
      <c r="J253" s="4" t="s">
        <v>1489</v>
      </c>
      <c r="K253" s="4" t="s">
        <v>161</v>
      </c>
    </row>
    <row r="254" spans="1:11" ht="43.2" x14ac:dyDescent="0.3">
      <c r="A254" s="3" t="s">
        <v>1539</v>
      </c>
      <c r="B254" s="3" t="s">
        <v>1494</v>
      </c>
      <c r="C254" s="3" t="s">
        <v>18</v>
      </c>
      <c r="D254" s="3">
        <v>2025</v>
      </c>
      <c r="E254" s="9" t="s">
        <v>1542</v>
      </c>
      <c r="F254" s="4" t="s">
        <v>1540</v>
      </c>
      <c r="G254" s="9" t="s">
        <v>2435</v>
      </c>
      <c r="H254" s="3">
        <v>1</v>
      </c>
      <c r="I254" s="3" t="s">
        <v>22</v>
      </c>
      <c r="J254" s="4" t="s">
        <v>1489</v>
      </c>
      <c r="K254" s="4" t="s">
        <v>161</v>
      </c>
    </row>
    <row r="255" spans="1:11" ht="28.8" x14ac:dyDescent="0.3">
      <c r="A255" s="3" t="s">
        <v>1545</v>
      </c>
      <c r="B255" s="3" t="s">
        <v>1494</v>
      </c>
      <c r="C255" s="3" t="s">
        <v>18</v>
      </c>
      <c r="D255" s="3">
        <v>2026</v>
      </c>
      <c r="E255" s="9" t="s">
        <v>1548</v>
      </c>
      <c r="F255" s="4" t="s">
        <v>1546</v>
      </c>
      <c r="G255" s="9" t="s">
        <v>2436</v>
      </c>
      <c r="H255" s="3">
        <v>1</v>
      </c>
      <c r="I255" s="3" t="s">
        <v>22</v>
      </c>
      <c r="J255" s="4" t="s">
        <v>1489</v>
      </c>
      <c r="K255" s="4" t="s">
        <v>120</v>
      </c>
    </row>
    <row r="256" spans="1:11" ht="43.2" x14ac:dyDescent="0.3">
      <c r="A256" s="3" t="s">
        <v>1551</v>
      </c>
      <c r="B256" s="3" t="s">
        <v>1494</v>
      </c>
      <c r="C256" s="3" t="s">
        <v>18</v>
      </c>
      <c r="D256" s="3">
        <v>2025</v>
      </c>
      <c r="E256" s="9" t="s">
        <v>1554</v>
      </c>
      <c r="F256" s="4" t="s">
        <v>1552</v>
      </c>
      <c r="G256" s="9" t="s">
        <v>2437</v>
      </c>
      <c r="H256" s="3">
        <v>1</v>
      </c>
      <c r="I256" s="3" t="s">
        <v>22</v>
      </c>
      <c r="J256" s="4" t="s">
        <v>1489</v>
      </c>
      <c r="K256" s="4" t="s">
        <v>120</v>
      </c>
    </row>
    <row r="257" spans="1:11" ht="28.8" x14ac:dyDescent="0.3">
      <c r="A257" s="3" t="s">
        <v>1557</v>
      </c>
      <c r="B257" s="3" t="s">
        <v>1494</v>
      </c>
      <c r="C257" s="3" t="s">
        <v>18</v>
      </c>
      <c r="D257" s="3">
        <v>2024</v>
      </c>
      <c r="E257" s="9" t="s">
        <v>138</v>
      </c>
      <c r="F257" s="4" t="s">
        <v>136</v>
      </c>
      <c r="G257" s="9" t="s">
        <v>2206</v>
      </c>
      <c r="H257" s="3">
        <v>0</v>
      </c>
      <c r="I257" s="3" t="s">
        <v>22</v>
      </c>
      <c r="J257" s="4" t="s">
        <v>1489</v>
      </c>
      <c r="K257" s="4" t="s">
        <v>141</v>
      </c>
    </row>
    <row r="258" spans="1:11" ht="28.8" x14ac:dyDescent="0.3">
      <c r="A258" s="3" t="s">
        <v>1561</v>
      </c>
      <c r="B258" s="3" t="s">
        <v>1494</v>
      </c>
      <c r="C258" s="3" t="s">
        <v>18</v>
      </c>
      <c r="D258" s="3">
        <v>2026</v>
      </c>
      <c r="E258" s="9" t="s">
        <v>1564</v>
      </c>
      <c r="F258" s="4" t="s">
        <v>1562</v>
      </c>
      <c r="G258" s="9" t="s">
        <v>2438</v>
      </c>
      <c r="H258" s="3">
        <v>1</v>
      </c>
      <c r="I258" s="3" t="s">
        <v>22</v>
      </c>
      <c r="J258" s="4" t="s">
        <v>1489</v>
      </c>
      <c r="K258" s="4" t="s">
        <v>141</v>
      </c>
    </row>
    <row r="259" spans="1:11" ht="28.8" x14ac:dyDescent="0.3">
      <c r="A259" s="3" t="s">
        <v>1567</v>
      </c>
      <c r="B259" s="3" t="s">
        <v>1494</v>
      </c>
      <c r="C259" s="3" t="s">
        <v>18</v>
      </c>
      <c r="D259" s="3">
        <v>2025</v>
      </c>
      <c r="E259" s="9" t="s">
        <v>1570</v>
      </c>
      <c r="F259" s="4" t="s">
        <v>1568</v>
      </c>
      <c r="G259" s="9" t="s">
        <v>2439</v>
      </c>
      <c r="H259" s="3">
        <v>1</v>
      </c>
      <c r="I259" s="3" t="s">
        <v>22</v>
      </c>
      <c r="J259" s="4" t="s">
        <v>1489</v>
      </c>
      <c r="K259" s="4" t="s">
        <v>616</v>
      </c>
    </row>
    <row r="260" spans="1:11" ht="28.8" x14ac:dyDescent="0.3">
      <c r="A260" s="3" t="s">
        <v>1573</v>
      </c>
      <c r="B260" s="3" t="s">
        <v>1494</v>
      </c>
      <c r="C260" s="3" t="s">
        <v>18</v>
      </c>
      <c r="D260" s="3">
        <v>2025</v>
      </c>
      <c r="E260" s="9" t="s">
        <v>1576</v>
      </c>
      <c r="F260" s="4" t="s">
        <v>1574</v>
      </c>
      <c r="G260" s="9" t="s">
        <v>2440</v>
      </c>
      <c r="H260" s="3">
        <v>1</v>
      </c>
      <c r="I260" s="3" t="s">
        <v>50</v>
      </c>
      <c r="J260" s="4" t="s">
        <v>1489</v>
      </c>
      <c r="K260" s="4" t="s">
        <v>260</v>
      </c>
    </row>
    <row r="261" spans="1:11" ht="28.8" x14ac:dyDescent="0.3">
      <c r="A261" s="3" t="s">
        <v>1579</v>
      </c>
      <c r="B261" s="3" t="s">
        <v>1494</v>
      </c>
      <c r="C261" s="3" t="s">
        <v>18</v>
      </c>
      <c r="D261" s="3">
        <v>2023</v>
      </c>
      <c r="E261" s="9" t="s">
        <v>85</v>
      </c>
      <c r="F261" s="4" t="s">
        <v>83</v>
      </c>
      <c r="G261" s="9" t="s">
        <v>2198</v>
      </c>
      <c r="H261" s="3">
        <v>0</v>
      </c>
      <c r="I261" s="3" t="s">
        <v>22</v>
      </c>
      <c r="J261" s="4" t="s">
        <v>1489</v>
      </c>
      <c r="K261" s="4" t="s">
        <v>23</v>
      </c>
    </row>
    <row r="262" spans="1:11" ht="28.8" x14ac:dyDescent="0.3">
      <c r="A262" s="3" t="s">
        <v>1583</v>
      </c>
      <c r="B262" s="3" t="s">
        <v>1494</v>
      </c>
      <c r="C262" s="3" t="s">
        <v>18</v>
      </c>
      <c r="D262" s="3">
        <v>2025</v>
      </c>
      <c r="E262" s="9" t="s">
        <v>1586</v>
      </c>
      <c r="F262" s="4" t="s">
        <v>1584</v>
      </c>
      <c r="G262" s="9" t="s">
        <v>2441</v>
      </c>
      <c r="H262" s="3">
        <v>1</v>
      </c>
      <c r="I262" s="3" t="s">
        <v>22</v>
      </c>
      <c r="J262" s="4" t="s">
        <v>1489</v>
      </c>
      <c r="K262" s="4" t="s">
        <v>260</v>
      </c>
    </row>
    <row r="263" spans="1:11" ht="28.8" x14ac:dyDescent="0.3">
      <c r="A263" s="3" t="s">
        <v>1589</v>
      </c>
      <c r="B263" s="3" t="s">
        <v>1494</v>
      </c>
      <c r="C263" s="3" t="s">
        <v>18</v>
      </c>
      <c r="D263" s="3">
        <v>2024</v>
      </c>
      <c r="E263" s="9" t="s">
        <v>1592</v>
      </c>
      <c r="F263" s="4" t="s">
        <v>1590</v>
      </c>
      <c r="G263" s="9" t="s">
        <v>2442</v>
      </c>
      <c r="H263" s="3">
        <v>1</v>
      </c>
      <c r="I263" s="3" t="s">
        <v>22</v>
      </c>
      <c r="J263" s="4" t="s">
        <v>1489</v>
      </c>
      <c r="K263" s="4" t="s">
        <v>23</v>
      </c>
    </row>
    <row r="264" spans="1:11" ht="28.8" x14ac:dyDescent="0.3">
      <c r="A264" s="3" t="s">
        <v>1595</v>
      </c>
      <c r="B264" s="3" t="s">
        <v>1494</v>
      </c>
      <c r="C264" s="3" t="s">
        <v>18</v>
      </c>
      <c r="D264" s="3">
        <v>2025</v>
      </c>
      <c r="E264" s="9" t="s">
        <v>576</v>
      </c>
      <c r="F264" s="4" t="s">
        <v>574</v>
      </c>
      <c r="G264" s="9" t="s">
        <v>2277</v>
      </c>
      <c r="H264" s="3">
        <v>0</v>
      </c>
      <c r="I264" s="3" t="s">
        <v>22</v>
      </c>
      <c r="J264" s="4" t="s">
        <v>1489</v>
      </c>
      <c r="K264" s="4" t="s">
        <v>579</v>
      </c>
    </row>
    <row r="265" spans="1:11" ht="28.8" x14ac:dyDescent="0.3">
      <c r="A265" s="3" t="s">
        <v>1599</v>
      </c>
      <c r="B265" s="3" t="s">
        <v>1494</v>
      </c>
      <c r="C265" s="3" t="s">
        <v>18</v>
      </c>
      <c r="D265" s="3">
        <v>2025</v>
      </c>
      <c r="E265" s="9" t="s">
        <v>1602</v>
      </c>
      <c r="F265" s="4" t="s">
        <v>1600</v>
      </c>
      <c r="G265" s="9" t="s">
        <v>2443</v>
      </c>
      <c r="H265" s="3">
        <v>1</v>
      </c>
      <c r="I265" s="3" t="s">
        <v>22</v>
      </c>
      <c r="J265" s="4" t="s">
        <v>1489</v>
      </c>
      <c r="K265" s="4" t="s">
        <v>23</v>
      </c>
    </row>
    <row r="266" spans="1:11" ht="28.8" x14ac:dyDescent="0.3">
      <c r="A266" s="3" t="s">
        <v>1605</v>
      </c>
      <c r="B266" s="3" t="s">
        <v>1494</v>
      </c>
      <c r="C266" s="3" t="s">
        <v>18</v>
      </c>
      <c r="D266" s="3">
        <v>2025</v>
      </c>
      <c r="E266" s="9" t="s">
        <v>1608</v>
      </c>
      <c r="F266" s="4" t="s">
        <v>1606</v>
      </c>
      <c r="G266" s="9" t="s">
        <v>2444</v>
      </c>
      <c r="H266" s="3">
        <v>1</v>
      </c>
      <c r="I266" s="3" t="s">
        <v>22</v>
      </c>
      <c r="J266" s="4" t="s">
        <v>1489</v>
      </c>
      <c r="K266" s="4" t="s">
        <v>579</v>
      </c>
    </row>
    <row r="267" spans="1:11" x14ac:dyDescent="0.3">
      <c r="A267" s="3" t="s">
        <v>1611</v>
      </c>
      <c r="B267" s="3" t="s">
        <v>1494</v>
      </c>
      <c r="C267" s="3" t="s">
        <v>18</v>
      </c>
      <c r="D267" s="3">
        <v>2026</v>
      </c>
      <c r="E267" s="9" t="s">
        <v>1614</v>
      </c>
      <c r="F267" s="4" t="s">
        <v>1612</v>
      </c>
      <c r="G267" s="9" t="s">
        <v>2445</v>
      </c>
      <c r="H267" s="3">
        <v>1</v>
      </c>
      <c r="I267" s="3" t="s">
        <v>22</v>
      </c>
      <c r="J267" s="4" t="s">
        <v>1489</v>
      </c>
      <c r="K267" s="4" t="s">
        <v>141</v>
      </c>
    </row>
    <row r="268" spans="1:11" ht="28.8" x14ac:dyDescent="0.3">
      <c r="A268" s="3" t="s">
        <v>1617</v>
      </c>
      <c r="B268" s="3" t="s">
        <v>1494</v>
      </c>
      <c r="C268" s="3" t="s">
        <v>18</v>
      </c>
      <c r="D268" s="3">
        <v>2026</v>
      </c>
      <c r="E268" s="9" t="s">
        <v>1620</v>
      </c>
      <c r="F268" s="4" t="s">
        <v>1618</v>
      </c>
      <c r="G268" s="9" t="s">
        <v>2446</v>
      </c>
      <c r="H268" s="3">
        <v>1</v>
      </c>
      <c r="I268" s="3" t="s">
        <v>22</v>
      </c>
      <c r="J268" s="4" t="s">
        <v>1489</v>
      </c>
      <c r="K268" s="4" t="s">
        <v>23</v>
      </c>
    </row>
    <row r="269" spans="1:11" ht="28.8" x14ac:dyDescent="0.3">
      <c r="A269" s="3" t="s">
        <v>1623</v>
      </c>
      <c r="B269" s="3" t="s">
        <v>1494</v>
      </c>
      <c r="C269" s="3" t="s">
        <v>18</v>
      </c>
      <c r="D269" s="3">
        <v>2025</v>
      </c>
      <c r="E269" s="9" t="s">
        <v>350</v>
      </c>
      <c r="F269" s="4" t="s">
        <v>1624</v>
      </c>
      <c r="G269" s="9" t="s">
        <v>2240</v>
      </c>
      <c r="H269" s="3">
        <v>0</v>
      </c>
      <c r="I269" s="3" t="s">
        <v>22</v>
      </c>
      <c r="J269" s="4" t="s">
        <v>1489</v>
      </c>
      <c r="K269" s="4" t="s">
        <v>353</v>
      </c>
    </row>
    <row r="270" spans="1:11" ht="28.8" x14ac:dyDescent="0.3">
      <c r="A270" s="3" t="s">
        <v>1627</v>
      </c>
      <c r="B270" s="3" t="s">
        <v>1494</v>
      </c>
      <c r="C270" s="3" t="s">
        <v>18</v>
      </c>
      <c r="D270" s="3">
        <v>2025</v>
      </c>
      <c r="E270" s="9" t="s">
        <v>1630</v>
      </c>
      <c r="F270" s="4" t="s">
        <v>1628</v>
      </c>
      <c r="G270" s="9" t="s">
        <v>2447</v>
      </c>
      <c r="H270" s="3">
        <v>1</v>
      </c>
      <c r="I270" s="3" t="s">
        <v>22</v>
      </c>
      <c r="J270" s="4" t="s">
        <v>1489</v>
      </c>
      <c r="K270" s="4" t="s">
        <v>161</v>
      </c>
    </row>
    <row r="271" spans="1:11" ht="28.8" x14ac:dyDescent="0.3">
      <c r="A271" s="3" t="s">
        <v>1633</v>
      </c>
      <c r="B271" s="3" t="s">
        <v>1494</v>
      </c>
      <c r="C271" s="3" t="s">
        <v>18</v>
      </c>
      <c r="D271" s="3">
        <v>2025</v>
      </c>
      <c r="E271" s="9" t="s">
        <v>1636</v>
      </c>
      <c r="F271" s="4" t="s">
        <v>1634</v>
      </c>
      <c r="G271" s="9" t="s">
        <v>2448</v>
      </c>
      <c r="H271" s="3">
        <v>1</v>
      </c>
      <c r="I271" s="3" t="s">
        <v>22</v>
      </c>
      <c r="J271" s="4" t="s">
        <v>1489</v>
      </c>
      <c r="K271" s="4" t="s">
        <v>23</v>
      </c>
    </row>
    <row r="272" spans="1:11" ht="28.8" x14ac:dyDescent="0.3">
      <c r="A272" s="3" t="s">
        <v>1639</v>
      </c>
      <c r="B272" s="3" t="s">
        <v>1494</v>
      </c>
      <c r="C272" s="3" t="s">
        <v>18</v>
      </c>
      <c r="D272" s="3">
        <v>2025</v>
      </c>
      <c r="E272" s="9" t="s">
        <v>411</v>
      </c>
      <c r="F272" s="4" t="s">
        <v>409</v>
      </c>
      <c r="G272" s="9" t="s">
        <v>2250</v>
      </c>
      <c r="H272" s="3">
        <v>0</v>
      </c>
      <c r="I272" s="3" t="s">
        <v>22</v>
      </c>
      <c r="J272" s="4" t="s">
        <v>1489</v>
      </c>
      <c r="K272" s="4" t="s">
        <v>37</v>
      </c>
    </row>
    <row r="273" spans="1:11" ht="28.8" x14ac:dyDescent="0.3">
      <c r="A273" s="3" t="s">
        <v>1643</v>
      </c>
      <c r="B273" s="3" t="s">
        <v>1494</v>
      </c>
      <c r="C273" s="3" t="s">
        <v>18</v>
      </c>
      <c r="D273" s="3">
        <v>2025</v>
      </c>
      <c r="E273" s="9" t="s">
        <v>77</v>
      </c>
      <c r="F273" s="4" t="s">
        <v>75</v>
      </c>
      <c r="G273" s="9" t="s">
        <v>2197</v>
      </c>
      <c r="H273" s="3">
        <v>0</v>
      </c>
      <c r="I273" s="3" t="s">
        <v>50</v>
      </c>
      <c r="J273" s="4" t="s">
        <v>1489</v>
      </c>
      <c r="K273" s="4" t="s">
        <v>80</v>
      </c>
    </row>
    <row r="274" spans="1:11" ht="28.8" x14ac:dyDescent="0.3">
      <c r="A274" s="3" t="s">
        <v>1647</v>
      </c>
      <c r="B274" s="3" t="s">
        <v>1494</v>
      </c>
      <c r="C274" s="3" t="s">
        <v>18</v>
      </c>
      <c r="D274" s="3">
        <v>2026</v>
      </c>
      <c r="E274" s="9" t="s">
        <v>1650</v>
      </c>
      <c r="F274" s="4" t="s">
        <v>1648</v>
      </c>
      <c r="G274" s="9" t="s">
        <v>2449</v>
      </c>
      <c r="H274" s="3">
        <v>1</v>
      </c>
      <c r="I274" s="3" t="s">
        <v>22</v>
      </c>
      <c r="J274" s="4" t="s">
        <v>1489</v>
      </c>
      <c r="K274" s="4" t="s">
        <v>1653</v>
      </c>
    </row>
    <row r="275" spans="1:11" ht="28.8" x14ac:dyDescent="0.3">
      <c r="A275" s="3" t="s">
        <v>1654</v>
      </c>
      <c r="B275" s="3" t="s">
        <v>1494</v>
      </c>
      <c r="C275" s="3" t="s">
        <v>18</v>
      </c>
      <c r="D275" s="3">
        <v>2024</v>
      </c>
      <c r="E275" s="9" t="s">
        <v>363</v>
      </c>
      <c r="F275" s="4" t="s">
        <v>361</v>
      </c>
      <c r="G275" s="9" t="s">
        <v>2242</v>
      </c>
      <c r="H275" s="3">
        <v>0</v>
      </c>
      <c r="I275" s="3" t="s">
        <v>22</v>
      </c>
      <c r="J275" s="4" t="s">
        <v>1489</v>
      </c>
      <c r="K275" s="4" t="s">
        <v>94</v>
      </c>
    </row>
    <row r="276" spans="1:11" ht="28.8" x14ac:dyDescent="0.3">
      <c r="A276" s="3" t="s">
        <v>1657</v>
      </c>
      <c r="B276" s="3" t="s">
        <v>1494</v>
      </c>
      <c r="C276" s="3" t="s">
        <v>18</v>
      </c>
      <c r="D276" s="3">
        <v>2025</v>
      </c>
      <c r="E276" s="9" t="s">
        <v>1660</v>
      </c>
      <c r="F276" s="4" t="s">
        <v>1658</v>
      </c>
      <c r="G276" s="9" t="s">
        <v>2450</v>
      </c>
      <c r="H276" s="3">
        <v>1</v>
      </c>
      <c r="I276" s="3" t="s">
        <v>22</v>
      </c>
      <c r="J276" s="4" t="s">
        <v>1489</v>
      </c>
      <c r="K276" s="4" t="s">
        <v>37</v>
      </c>
    </row>
    <row r="277" spans="1:11" ht="28.8" x14ac:dyDescent="0.3">
      <c r="A277" s="3" t="s">
        <v>1663</v>
      </c>
      <c r="B277" s="3" t="s">
        <v>1494</v>
      </c>
      <c r="C277" s="3" t="s">
        <v>18</v>
      </c>
      <c r="D277" s="3">
        <v>2025</v>
      </c>
      <c r="E277" s="9" t="s">
        <v>1666</v>
      </c>
      <c r="F277" s="4" t="s">
        <v>1664</v>
      </c>
      <c r="G277" s="9" t="s">
        <v>2451</v>
      </c>
      <c r="H277" s="3">
        <v>1</v>
      </c>
      <c r="I277" s="3" t="s">
        <v>22</v>
      </c>
      <c r="J277" s="4" t="s">
        <v>1489</v>
      </c>
      <c r="K277" s="4" t="s">
        <v>37</v>
      </c>
    </row>
    <row r="278" spans="1:11" ht="28.8" x14ac:dyDescent="0.3">
      <c r="A278" s="3" t="s">
        <v>1669</v>
      </c>
      <c r="B278" s="3" t="s">
        <v>1494</v>
      </c>
      <c r="C278" s="3" t="s">
        <v>18</v>
      </c>
      <c r="D278" s="3">
        <v>2025</v>
      </c>
      <c r="E278" s="9" t="s">
        <v>1672</v>
      </c>
      <c r="F278" s="4" t="s">
        <v>1670</v>
      </c>
      <c r="G278" s="9" t="s">
        <v>2452</v>
      </c>
      <c r="H278" s="3">
        <v>1</v>
      </c>
      <c r="I278" s="3" t="s">
        <v>22</v>
      </c>
      <c r="J278" s="4" t="s">
        <v>1489</v>
      </c>
      <c r="K278" s="4" t="s">
        <v>120</v>
      </c>
    </row>
    <row r="279" spans="1:11" ht="28.8" x14ac:dyDescent="0.3">
      <c r="A279" s="3" t="s">
        <v>1675</v>
      </c>
      <c r="B279" s="3" t="s">
        <v>1494</v>
      </c>
      <c r="C279" s="3" t="s">
        <v>18</v>
      </c>
      <c r="D279" s="3">
        <v>2024</v>
      </c>
      <c r="E279" s="9" t="s">
        <v>207</v>
      </c>
      <c r="F279" s="4" t="s">
        <v>1676</v>
      </c>
      <c r="G279" s="9" t="s">
        <v>2453</v>
      </c>
      <c r="H279" s="3">
        <v>1</v>
      </c>
      <c r="I279" s="3" t="s">
        <v>22</v>
      </c>
      <c r="J279" s="4" t="s">
        <v>1489</v>
      </c>
      <c r="K279" s="4" t="s">
        <v>37</v>
      </c>
    </row>
    <row r="280" spans="1:11" ht="28.8" x14ac:dyDescent="0.3">
      <c r="A280" s="3" t="s">
        <v>1679</v>
      </c>
      <c r="B280" s="3" t="s">
        <v>1494</v>
      </c>
      <c r="C280" s="3" t="s">
        <v>18</v>
      </c>
      <c r="D280" s="3">
        <v>2025</v>
      </c>
      <c r="E280" s="9" t="s">
        <v>1682</v>
      </c>
      <c r="F280" s="4" t="s">
        <v>1680</v>
      </c>
      <c r="G280" s="9" t="s">
        <v>2454</v>
      </c>
      <c r="H280" s="3">
        <v>1</v>
      </c>
      <c r="I280" s="3" t="s">
        <v>22</v>
      </c>
      <c r="J280" s="4" t="s">
        <v>1489</v>
      </c>
      <c r="K280" s="4" t="s">
        <v>353</v>
      </c>
    </row>
    <row r="281" spans="1:11" ht="43.2" x14ac:dyDescent="0.3">
      <c r="A281" s="3" t="s">
        <v>1685</v>
      </c>
      <c r="B281" s="3" t="s">
        <v>1494</v>
      </c>
      <c r="C281" s="3" t="s">
        <v>18</v>
      </c>
      <c r="D281" s="3">
        <v>2025</v>
      </c>
      <c r="E281" s="9" t="s">
        <v>220</v>
      </c>
      <c r="F281" s="4" t="s">
        <v>218</v>
      </c>
      <c r="G281" s="9" t="s">
        <v>2219</v>
      </c>
      <c r="H281" s="3">
        <v>0</v>
      </c>
      <c r="I281" s="3" t="s">
        <v>22</v>
      </c>
      <c r="J281" s="4" t="s">
        <v>1489</v>
      </c>
      <c r="K281" s="4" t="s">
        <v>37</v>
      </c>
    </row>
    <row r="282" spans="1:11" ht="28.8" x14ac:dyDescent="0.3">
      <c r="A282" s="3" t="s">
        <v>1689</v>
      </c>
      <c r="B282" s="3" t="s">
        <v>1494</v>
      </c>
      <c r="C282" s="3" t="s">
        <v>18</v>
      </c>
      <c r="D282" s="3">
        <v>2025</v>
      </c>
      <c r="E282" s="9" t="s">
        <v>1692</v>
      </c>
      <c r="F282" s="4" t="s">
        <v>1690</v>
      </c>
      <c r="G282" s="9" t="s">
        <v>2455</v>
      </c>
      <c r="H282" s="3">
        <v>1</v>
      </c>
      <c r="I282" s="3" t="s">
        <v>22</v>
      </c>
      <c r="J282" s="4" t="s">
        <v>1489</v>
      </c>
      <c r="K282" s="4" t="s">
        <v>80</v>
      </c>
    </row>
    <row r="283" spans="1:11" ht="28.8" x14ac:dyDescent="0.3">
      <c r="A283" s="3" t="s">
        <v>1695</v>
      </c>
      <c r="B283" s="3" t="s">
        <v>1494</v>
      </c>
      <c r="C283" s="3" t="s">
        <v>18</v>
      </c>
      <c r="D283" s="3">
        <v>2026</v>
      </c>
      <c r="E283" s="9" t="s">
        <v>1698</v>
      </c>
      <c r="F283" s="4" t="s">
        <v>1696</v>
      </c>
      <c r="G283" s="9" t="s">
        <v>2456</v>
      </c>
      <c r="H283" s="3">
        <v>1</v>
      </c>
      <c r="I283" s="3" t="s">
        <v>22</v>
      </c>
      <c r="J283" s="4" t="s">
        <v>1489</v>
      </c>
      <c r="K283" s="4" t="s">
        <v>353</v>
      </c>
    </row>
    <row r="284" spans="1:11" ht="28.8" x14ac:dyDescent="0.3">
      <c r="A284" s="3" t="s">
        <v>1701</v>
      </c>
      <c r="B284" s="3" t="s">
        <v>1494</v>
      </c>
      <c r="C284" s="3" t="s">
        <v>18</v>
      </c>
      <c r="D284" s="3">
        <v>2025</v>
      </c>
      <c r="E284" s="9" t="s">
        <v>207</v>
      </c>
      <c r="F284" s="4" t="s">
        <v>1702</v>
      </c>
      <c r="G284" s="9" t="s">
        <v>2457</v>
      </c>
      <c r="H284" s="3">
        <v>1</v>
      </c>
      <c r="I284" s="3" t="s">
        <v>22</v>
      </c>
      <c r="J284" s="4" t="s">
        <v>1489</v>
      </c>
      <c r="K284" s="4" t="s">
        <v>23</v>
      </c>
    </row>
    <row r="285" spans="1:11" ht="28.8" x14ac:dyDescent="0.3">
      <c r="A285" s="3" t="s">
        <v>1705</v>
      </c>
      <c r="B285" s="3" t="s">
        <v>1494</v>
      </c>
      <c r="C285" s="3" t="s">
        <v>18</v>
      </c>
      <c r="D285" s="3">
        <v>2024</v>
      </c>
      <c r="E285" s="9" t="s">
        <v>1708</v>
      </c>
      <c r="F285" s="4" t="s">
        <v>1706</v>
      </c>
      <c r="G285" s="9" t="s">
        <v>2458</v>
      </c>
      <c r="H285" s="3">
        <v>1</v>
      </c>
      <c r="I285" s="3" t="s">
        <v>22</v>
      </c>
      <c r="J285" s="4" t="s">
        <v>1489</v>
      </c>
      <c r="K285" s="4" t="s">
        <v>616</v>
      </c>
    </row>
    <row r="286" spans="1:11" ht="43.2" x14ac:dyDescent="0.3">
      <c r="A286" s="3" t="s">
        <v>1711</v>
      </c>
      <c r="B286" s="3" t="s">
        <v>1494</v>
      </c>
      <c r="C286" s="3" t="s">
        <v>18</v>
      </c>
      <c r="D286" s="3">
        <v>2025</v>
      </c>
      <c r="E286" s="9" t="s">
        <v>1714</v>
      </c>
      <c r="F286" s="4" t="s">
        <v>1712</v>
      </c>
      <c r="G286" s="9" t="s">
        <v>2459</v>
      </c>
      <c r="H286" s="3">
        <v>1</v>
      </c>
      <c r="I286" s="3" t="s">
        <v>22</v>
      </c>
      <c r="J286" s="4" t="s">
        <v>1489</v>
      </c>
      <c r="K286" s="4" t="s">
        <v>37</v>
      </c>
    </row>
    <row r="287" spans="1:11" x14ac:dyDescent="0.3">
      <c r="A287" s="3" t="s">
        <v>1717</v>
      </c>
      <c r="B287" s="3" t="s">
        <v>1494</v>
      </c>
      <c r="C287" s="3" t="s">
        <v>18</v>
      </c>
      <c r="D287" s="3">
        <v>2025</v>
      </c>
      <c r="E287" s="9" t="s">
        <v>207</v>
      </c>
      <c r="F287" s="4" t="s">
        <v>1718</v>
      </c>
      <c r="G287" s="9" t="s">
        <v>2460</v>
      </c>
      <c r="H287" s="3">
        <v>1</v>
      </c>
      <c r="I287" s="3" t="s">
        <v>22</v>
      </c>
      <c r="J287" s="4" t="s">
        <v>1489</v>
      </c>
      <c r="K287" s="4" t="s">
        <v>23</v>
      </c>
    </row>
    <row r="288" spans="1:11" ht="28.8" x14ac:dyDescent="0.3">
      <c r="A288" s="3" t="s">
        <v>1721</v>
      </c>
      <c r="B288" s="3" t="s">
        <v>1494</v>
      </c>
      <c r="C288" s="3" t="s">
        <v>18</v>
      </c>
      <c r="D288" s="3">
        <v>2026</v>
      </c>
      <c r="E288" s="9" t="s">
        <v>1724</v>
      </c>
      <c r="F288" s="4" t="s">
        <v>1722</v>
      </c>
      <c r="G288" s="9" t="s">
        <v>2461</v>
      </c>
      <c r="H288" s="3">
        <v>1</v>
      </c>
      <c r="I288" s="3" t="s">
        <v>22</v>
      </c>
      <c r="J288" s="4" t="s">
        <v>1489</v>
      </c>
      <c r="K288" s="4" t="s">
        <v>141</v>
      </c>
    </row>
    <row r="289" spans="1:11" ht="28.8" x14ac:dyDescent="0.3">
      <c r="A289" s="3" t="s">
        <v>1727</v>
      </c>
      <c r="B289" s="3" t="s">
        <v>1494</v>
      </c>
      <c r="C289" s="3" t="s">
        <v>18</v>
      </c>
      <c r="D289" s="3">
        <v>2024</v>
      </c>
      <c r="E289" s="9" t="s">
        <v>207</v>
      </c>
      <c r="F289" s="4" t="s">
        <v>1728</v>
      </c>
      <c r="G289" s="9" t="s">
        <v>2462</v>
      </c>
      <c r="H289" s="3">
        <v>1</v>
      </c>
      <c r="I289" s="3" t="s">
        <v>22</v>
      </c>
      <c r="J289" s="4" t="s">
        <v>1489</v>
      </c>
      <c r="K289" s="4" t="s">
        <v>23</v>
      </c>
    </row>
    <row r="290" spans="1:11" ht="28.8" x14ac:dyDescent="0.3">
      <c r="A290" s="3" t="s">
        <v>1731</v>
      </c>
      <c r="B290" s="3" t="s">
        <v>1494</v>
      </c>
      <c r="C290" s="3" t="s">
        <v>18</v>
      </c>
      <c r="D290" s="3">
        <v>2025</v>
      </c>
      <c r="E290" s="9" t="s">
        <v>1734</v>
      </c>
      <c r="F290" s="4" t="s">
        <v>1732</v>
      </c>
      <c r="G290" s="9" t="s">
        <v>2463</v>
      </c>
      <c r="H290" s="3">
        <v>1</v>
      </c>
      <c r="I290" s="3" t="s">
        <v>22</v>
      </c>
      <c r="J290" s="4" t="s">
        <v>1489</v>
      </c>
      <c r="K290" s="4" t="s">
        <v>1737</v>
      </c>
    </row>
    <row r="291" spans="1:11" ht="43.2" x14ac:dyDescent="0.3">
      <c r="A291" s="3" t="s">
        <v>1738</v>
      </c>
      <c r="B291" s="3" t="s">
        <v>1494</v>
      </c>
      <c r="C291" s="3" t="s">
        <v>18</v>
      </c>
      <c r="D291" s="3">
        <v>2025</v>
      </c>
      <c r="E291" s="9" t="s">
        <v>1741</v>
      </c>
      <c r="F291" s="4" t="s">
        <v>1739</v>
      </c>
      <c r="G291" s="9" t="s">
        <v>2464</v>
      </c>
      <c r="H291" s="3">
        <v>1</v>
      </c>
      <c r="I291" s="3" t="s">
        <v>22</v>
      </c>
      <c r="J291" s="4" t="s">
        <v>1489</v>
      </c>
      <c r="K291" s="4" t="s">
        <v>23</v>
      </c>
    </row>
    <row r="292" spans="1:11" ht="28.8" x14ac:dyDescent="0.3">
      <c r="A292" s="3" t="s">
        <v>1744</v>
      </c>
      <c r="B292" s="3" t="s">
        <v>1494</v>
      </c>
      <c r="C292" s="3" t="s">
        <v>18</v>
      </c>
      <c r="D292" s="3">
        <v>2025</v>
      </c>
      <c r="E292" s="9" t="s">
        <v>1747</v>
      </c>
      <c r="F292" s="4" t="s">
        <v>1745</v>
      </c>
      <c r="G292" s="9" t="s">
        <v>2465</v>
      </c>
      <c r="H292" s="3">
        <v>1</v>
      </c>
      <c r="I292" s="3" t="s">
        <v>22</v>
      </c>
      <c r="J292" s="4" t="s">
        <v>1489</v>
      </c>
      <c r="K292" s="4" t="s">
        <v>616</v>
      </c>
    </row>
    <row r="293" spans="1:11" x14ac:dyDescent="0.3">
      <c r="A293" s="3" t="s">
        <v>1750</v>
      </c>
      <c r="B293" s="3" t="s">
        <v>1494</v>
      </c>
      <c r="C293" s="3" t="s">
        <v>18</v>
      </c>
      <c r="D293" s="3">
        <v>2025</v>
      </c>
      <c r="E293" s="9" t="s">
        <v>664</v>
      </c>
      <c r="F293" s="4" t="s">
        <v>662</v>
      </c>
      <c r="G293" s="9" t="s">
        <v>2291</v>
      </c>
      <c r="H293" s="3">
        <v>0</v>
      </c>
      <c r="I293" s="3" t="s">
        <v>22</v>
      </c>
      <c r="J293" s="4" t="s">
        <v>1489</v>
      </c>
      <c r="K293" s="4" t="s">
        <v>23</v>
      </c>
    </row>
    <row r="294" spans="1:11" ht="43.2" x14ac:dyDescent="0.3">
      <c r="A294" s="3" t="s">
        <v>1753</v>
      </c>
      <c r="B294" s="3" t="s">
        <v>1494</v>
      </c>
      <c r="C294" s="3" t="s">
        <v>18</v>
      </c>
      <c r="D294" s="3">
        <v>2026</v>
      </c>
      <c r="E294" s="9" t="s">
        <v>270</v>
      </c>
      <c r="F294" s="4" t="s">
        <v>268</v>
      </c>
      <c r="G294" s="9" t="s">
        <v>2227</v>
      </c>
      <c r="H294" s="3">
        <v>0</v>
      </c>
      <c r="I294" s="3" t="s">
        <v>22</v>
      </c>
      <c r="J294" s="4" t="s">
        <v>1489</v>
      </c>
      <c r="K294" s="4" t="s">
        <v>273</v>
      </c>
    </row>
    <row r="295" spans="1:11" ht="43.2" x14ac:dyDescent="0.3">
      <c r="A295" s="3" t="s">
        <v>1756</v>
      </c>
      <c r="B295" s="3" t="s">
        <v>1494</v>
      </c>
      <c r="C295" s="3" t="s">
        <v>18</v>
      </c>
      <c r="D295" s="3">
        <v>2026</v>
      </c>
      <c r="E295" s="9" t="s">
        <v>1759</v>
      </c>
      <c r="F295" s="4" t="s">
        <v>1757</v>
      </c>
      <c r="G295" s="9" t="s">
        <v>2466</v>
      </c>
      <c r="H295" s="3">
        <v>1</v>
      </c>
      <c r="I295" s="3" t="s">
        <v>22</v>
      </c>
      <c r="J295" s="4" t="s">
        <v>1489</v>
      </c>
      <c r="K295" s="4" t="s">
        <v>127</v>
      </c>
    </row>
    <row r="296" spans="1:11" ht="28.8" x14ac:dyDescent="0.3">
      <c r="A296" s="3" t="s">
        <v>1762</v>
      </c>
      <c r="B296" s="3" t="s">
        <v>1494</v>
      </c>
      <c r="C296" s="3" t="s">
        <v>18</v>
      </c>
      <c r="D296" s="3">
        <v>2025</v>
      </c>
      <c r="E296" s="9" t="s">
        <v>1765</v>
      </c>
      <c r="F296" s="4" t="s">
        <v>1763</v>
      </c>
      <c r="G296" s="9" t="s">
        <v>2467</v>
      </c>
      <c r="H296" s="3">
        <v>1</v>
      </c>
      <c r="I296" s="3" t="s">
        <v>22</v>
      </c>
      <c r="J296" s="4" t="s">
        <v>1489</v>
      </c>
      <c r="K296" s="4" t="s">
        <v>260</v>
      </c>
    </row>
    <row r="297" spans="1:11" ht="43.2" x14ac:dyDescent="0.3">
      <c r="A297" s="3" t="s">
        <v>1768</v>
      </c>
      <c r="B297" s="3" t="s">
        <v>1494</v>
      </c>
      <c r="C297" s="3" t="s">
        <v>18</v>
      </c>
      <c r="D297" s="3">
        <v>2025</v>
      </c>
      <c r="E297" s="9" t="s">
        <v>257</v>
      </c>
      <c r="F297" s="4" t="s">
        <v>1769</v>
      </c>
      <c r="G297" s="9" t="s">
        <v>2225</v>
      </c>
      <c r="H297" s="3">
        <v>0</v>
      </c>
      <c r="I297" s="3" t="s">
        <v>22</v>
      </c>
      <c r="J297" s="4" t="s">
        <v>1489</v>
      </c>
      <c r="K297" s="4" t="s">
        <v>260</v>
      </c>
    </row>
    <row r="298" spans="1:11" ht="28.8" x14ac:dyDescent="0.3">
      <c r="A298" s="3" t="s">
        <v>1773</v>
      </c>
      <c r="B298" s="3" t="s">
        <v>1494</v>
      </c>
      <c r="C298" s="3" t="s">
        <v>18</v>
      </c>
      <c r="D298" s="3">
        <v>2024</v>
      </c>
      <c r="E298" s="9" t="s">
        <v>207</v>
      </c>
      <c r="F298" s="4" t="s">
        <v>1774</v>
      </c>
      <c r="G298" s="9" t="s">
        <v>2468</v>
      </c>
      <c r="H298" s="3">
        <v>1</v>
      </c>
      <c r="I298" s="3" t="s">
        <v>22</v>
      </c>
      <c r="J298" s="4" t="s">
        <v>1489</v>
      </c>
      <c r="K298" s="4" t="s">
        <v>1344</v>
      </c>
    </row>
    <row r="299" spans="1:11" ht="57.6" x14ac:dyDescent="0.3">
      <c r="A299" s="3" t="s">
        <v>1777</v>
      </c>
      <c r="B299" s="3" t="s">
        <v>1494</v>
      </c>
      <c r="C299" s="3" t="s">
        <v>18</v>
      </c>
      <c r="D299" s="3">
        <v>2025</v>
      </c>
      <c r="E299" s="9" t="s">
        <v>1780</v>
      </c>
      <c r="F299" s="4" t="s">
        <v>1778</v>
      </c>
      <c r="G299" s="9" t="s">
        <v>2469</v>
      </c>
      <c r="H299" s="3">
        <v>1</v>
      </c>
      <c r="I299" s="3" t="s">
        <v>22</v>
      </c>
      <c r="J299" s="4" t="s">
        <v>1489</v>
      </c>
      <c r="K299" s="4" t="s">
        <v>23</v>
      </c>
    </row>
    <row r="300" spans="1:11" ht="28.8" x14ac:dyDescent="0.3">
      <c r="A300" s="3" t="s">
        <v>1783</v>
      </c>
      <c r="B300" s="3" t="s">
        <v>1494</v>
      </c>
      <c r="C300" s="3" t="s">
        <v>18</v>
      </c>
      <c r="D300" s="3">
        <v>2025</v>
      </c>
      <c r="E300" s="9" t="s">
        <v>1786</v>
      </c>
      <c r="F300" s="4" t="s">
        <v>1784</v>
      </c>
      <c r="G300" s="9" t="s">
        <v>2470</v>
      </c>
      <c r="H300" s="3">
        <v>1</v>
      </c>
      <c r="I300" s="3" t="s">
        <v>22</v>
      </c>
      <c r="J300" s="4" t="s">
        <v>1489</v>
      </c>
      <c r="K300" s="4" t="s">
        <v>127</v>
      </c>
    </row>
    <row r="301" spans="1:11" ht="28.8" x14ac:dyDescent="0.3">
      <c r="A301" s="3" t="s">
        <v>1789</v>
      </c>
      <c r="B301" s="3" t="s">
        <v>1494</v>
      </c>
      <c r="C301" s="3" t="s">
        <v>18</v>
      </c>
      <c r="D301" s="3">
        <v>2025</v>
      </c>
      <c r="E301" s="9" t="s">
        <v>632</v>
      </c>
      <c r="F301" s="4" t="s">
        <v>1790</v>
      </c>
      <c r="G301" s="9" t="s">
        <v>2286</v>
      </c>
      <c r="H301" s="3">
        <v>0</v>
      </c>
      <c r="I301" s="3" t="s">
        <v>22</v>
      </c>
      <c r="J301" s="4" t="s">
        <v>1489</v>
      </c>
      <c r="K301" s="4" t="s">
        <v>23</v>
      </c>
    </row>
    <row r="302" spans="1:11" ht="28.8" x14ac:dyDescent="0.3">
      <c r="A302" s="3" t="s">
        <v>1793</v>
      </c>
      <c r="B302" s="3" t="s">
        <v>1494</v>
      </c>
      <c r="C302" s="3" t="s">
        <v>18</v>
      </c>
      <c r="D302" s="3">
        <v>2025</v>
      </c>
      <c r="E302" s="9" t="s">
        <v>1796</v>
      </c>
      <c r="F302" s="4" t="s">
        <v>1794</v>
      </c>
      <c r="G302" s="9" t="s">
        <v>2471</v>
      </c>
      <c r="H302" s="3">
        <v>1</v>
      </c>
      <c r="I302" s="3" t="s">
        <v>22</v>
      </c>
      <c r="J302" s="4" t="s">
        <v>1489</v>
      </c>
      <c r="K302" s="4" t="s">
        <v>141</v>
      </c>
    </row>
    <row r="303" spans="1:11" ht="28.8" x14ac:dyDescent="0.3">
      <c r="A303" s="3" t="s">
        <v>1799</v>
      </c>
      <c r="B303" s="3" t="s">
        <v>1494</v>
      </c>
      <c r="C303" s="3" t="s">
        <v>18</v>
      </c>
      <c r="D303" s="3">
        <v>2025</v>
      </c>
      <c r="E303" s="9" t="s">
        <v>1802</v>
      </c>
      <c r="F303" s="4" t="s">
        <v>1800</v>
      </c>
      <c r="G303" s="9" t="s">
        <v>2472</v>
      </c>
      <c r="H303" s="3">
        <v>1</v>
      </c>
      <c r="I303" s="3" t="s">
        <v>22</v>
      </c>
      <c r="J303" s="4" t="s">
        <v>1489</v>
      </c>
      <c r="K303" s="4" t="s">
        <v>23</v>
      </c>
    </row>
    <row r="304" spans="1:11" ht="28.8" x14ac:dyDescent="0.3">
      <c r="A304" s="3" t="s">
        <v>1805</v>
      </c>
      <c r="B304" s="3" t="s">
        <v>1494</v>
      </c>
      <c r="C304" s="3" t="s">
        <v>18</v>
      </c>
      <c r="D304" s="3">
        <v>2026</v>
      </c>
      <c r="E304" s="9" t="s">
        <v>467</v>
      </c>
      <c r="F304" s="4" t="s">
        <v>465</v>
      </c>
      <c r="G304" s="9" t="s">
        <v>2259</v>
      </c>
      <c r="H304" s="3">
        <v>0</v>
      </c>
      <c r="I304" s="3" t="s">
        <v>22</v>
      </c>
      <c r="J304" s="4" t="s">
        <v>1489</v>
      </c>
      <c r="K304" s="4" t="s">
        <v>470</v>
      </c>
    </row>
    <row r="305" spans="1:11" ht="28.8" x14ac:dyDescent="0.3">
      <c r="A305" s="3" t="s">
        <v>1809</v>
      </c>
      <c r="B305" s="3" t="s">
        <v>1494</v>
      </c>
      <c r="C305" s="3" t="s">
        <v>18</v>
      </c>
      <c r="D305" s="3">
        <v>2025</v>
      </c>
      <c r="E305" s="9" t="s">
        <v>245</v>
      </c>
      <c r="F305" s="4" t="s">
        <v>243</v>
      </c>
      <c r="G305" s="9" t="s">
        <v>2223</v>
      </c>
      <c r="H305" s="3">
        <v>0</v>
      </c>
      <c r="I305" s="3" t="s">
        <v>50</v>
      </c>
      <c r="J305" s="4" t="s">
        <v>1489</v>
      </c>
      <c r="K305" s="4" t="s">
        <v>23</v>
      </c>
    </row>
    <row r="306" spans="1:11" ht="28.8" x14ac:dyDescent="0.3">
      <c r="A306" s="3" t="s">
        <v>1812</v>
      </c>
      <c r="B306" s="3" t="s">
        <v>1494</v>
      </c>
      <c r="C306" s="3" t="s">
        <v>18</v>
      </c>
      <c r="D306" s="3">
        <v>2024</v>
      </c>
      <c r="E306" s="9" t="s">
        <v>461</v>
      </c>
      <c r="F306" s="4" t="s">
        <v>459</v>
      </c>
      <c r="G306" s="9" t="s">
        <v>2258</v>
      </c>
      <c r="H306" s="3">
        <v>0</v>
      </c>
      <c r="I306" s="3" t="s">
        <v>22</v>
      </c>
      <c r="J306" s="4" t="s">
        <v>1489</v>
      </c>
      <c r="K306" s="4" t="s">
        <v>51</v>
      </c>
    </row>
    <row r="307" spans="1:11" ht="43.2" x14ac:dyDescent="0.3">
      <c r="A307" s="3" t="s">
        <v>1816</v>
      </c>
      <c r="B307" s="3" t="s">
        <v>1494</v>
      </c>
      <c r="C307" s="3" t="s">
        <v>18</v>
      </c>
      <c r="D307" s="3">
        <v>2024</v>
      </c>
      <c r="E307" s="9" t="s">
        <v>207</v>
      </c>
      <c r="F307" s="4" t="s">
        <v>1817</v>
      </c>
      <c r="G307" s="9" t="s">
        <v>2473</v>
      </c>
      <c r="H307" s="3">
        <v>1</v>
      </c>
      <c r="I307" s="3" t="s">
        <v>22</v>
      </c>
      <c r="J307" s="4" t="s">
        <v>1489</v>
      </c>
      <c r="K307" s="4" t="s">
        <v>23</v>
      </c>
    </row>
    <row r="308" spans="1:11" ht="28.8" x14ac:dyDescent="0.3">
      <c r="A308" s="3" t="s">
        <v>1820</v>
      </c>
      <c r="B308" s="3" t="s">
        <v>1494</v>
      </c>
      <c r="C308" s="3" t="s">
        <v>18</v>
      </c>
      <c r="D308" s="3">
        <v>2026</v>
      </c>
      <c r="E308" s="9" t="s">
        <v>1823</v>
      </c>
      <c r="F308" s="4" t="s">
        <v>1821</v>
      </c>
      <c r="G308" s="9" t="s">
        <v>2474</v>
      </c>
      <c r="H308" s="3">
        <v>1</v>
      </c>
      <c r="I308" s="3" t="s">
        <v>22</v>
      </c>
      <c r="J308" s="4" t="s">
        <v>1489</v>
      </c>
      <c r="K308" s="4" t="s">
        <v>23</v>
      </c>
    </row>
    <row r="309" spans="1:11" ht="28.8" x14ac:dyDescent="0.3">
      <c r="A309" s="3" t="s">
        <v>1826</v>
      </c>
      <c r="B309" s="3" t="s">
        <v>1494</v>
      </c>
      <c r="C309" s="3" t="s">
        <v>18</v>
      </c>
      <c r="D309" s="3">
        <v>2026</v>
      </c>
      <c r="E309" s="9" t="s">
        <v>1829</v>
      </c>
      <c r="F309" s="4" t="s">
        <v>1827</v>
      </c>
      <c r="G309" s="9" t="s">
        <v>2475</v>
      </c>
      <c r="H309" s="3">
        <v>1</v>
      </c>
      <c r="I309" s="3" t="s">
        <v>22</v>
      </c>
      <c r="J309" s="4" t="s">
        <v>1489</v>
      </c>
      <c r="K309" s="4" t="s">
        <v>1344</v>
      </c>
    </row>
    <row r="310" spans="1:11" ht="28.8" x14ac:dyDescent="0.3">
      <c r="A310" s="3" t="s">
        <v>1832</v>
      </c>
      <c r="B310" s="3" t="s">
        <v>1494</v>
      </c>
      <c r="C310" s="3" t="s">
        <v>18</v>
      </c>
      <c r="D310" s="3">
        <v>2026</v>
      </c>
      <c r="E310" s="9" t="s">
        <v>1835</v>
      </c>
      <c r="F310" s="4" t="s">
        <v>1833</v>
      </c>
      <c r="G310" s="9" t="s">
        <v>2476</v>
      </c>
      <c r="H310" s="3">
        <v>1</v>
      </c>
      <c r="I310" s="3" t="s">
        <v>22</v>
      </c>
      <c r="J310" s="4" t="s">
        <v>1489</v>
      </c>
      <c r="K310" s="4" t="s">
        <v>235</v>
      </c>
    </row>
    <row r="311" spans="1:11" ht="28.8" x14ac:dyDescent="0.3">
      <c r="A311" s="3" t="s">
        <v>1838</v>
      </c>
      <c r="B311" s="3" t="s">
        <v>1494</v>
      </c>
      <c r="C311" s="3" t="s">
        <v>18</v>
      </c>
      <c r="D311" s="3">
        <v>2025</v>
      </c>
      <c r="E311" s="9" t="s">
        <v>528</v>
      </c>
      <c r="F311" s="4" t="s">
        <v>526</v>
      </c>
      <c r="G311" s="9" t="s">
        <v>2269</v>
      </c>
      <c r="H311" s="3">
        <v>0</v>
      </c>
      <c r="I311" s="3" t="s">
        <v>22</v>
      </c>
      <c r="J311" s="4" t="s">
        <v>1489</v>
      </c>
      <c r="K311" s="4" t="s">
        <v>141</v>
      </c>
    </row>
    <row r="312" spans="1:11" ht="28.8" x14ac:dyDescent="0.3">
      <c r="A312" s="3" t="s">
        <v>1841</v>
      </c>
      <c r="B312" s="3" t="s">
        <v>1494</v>
      </c>
      <c r="C312" s="3" t="s">
        <v>18</v>
      </c>
      <c r="D312" s="3">
        <v>2024</v>
      </c>
      <c r="E312" s="9" t="s">
        <v>1844</v>
      </c>
      <c r="F312" s="4" t="s">
        <v>1842</v>
      </c>
      <c r="G312" s="9" t="s">
        <v>2477</v>
      </c>
      <c r="H312" s="3">
        <v>1</v>
      </c>
      <c r="I312" s="3" t="s">
        <v>22</v>
      </c>
      <c r="J312" s="4" t="s">
        <v>1489</v>
      </c>
      <c r="K312" s="4" t="s">
        <v>353</v>
      </c>
    </row>
    <row r="313" spans="1:11" ht="28.8" x14ac:dyDescent="0.3">
      <c r="A313" s="3" t="s">
        <v>1847</v>
      </c>
      <c r="B313" s="3" t="s">
        <v>1494</v>
      </c>
      <c r="C313" s="3" t="s">
        <v>18</v>
      </c>
      <c r="D313" s="3">
        <v>2025</v>
      </c>
      <c r="E313" s="9" t="s">
        <v>1850</v>
      </c>
      <c r="F313" s="4" t="s">
        <v>1848</v>
      </c>
      <c r="G313" s="9" t="s">
        <v>2478</v>
      </c>
      <c r="H313" s="3">
        <v>1</v>
      </c>
      <c r="I313" s="3" t="s">
        <v>50</v>
      </c>
      <c r="J313" s="4" t="s">
        <v>1489</v>
      </c>
      <c r="K313" s="4" t="s">
        <v>23</v>
      </c>
    </row>
    <row r="314" spans="1:11" ht="28.8" x14ac:dyDescent="0.3">
      <c r="A314" s="3" t="s">
        <v>1853</v>
      </c>
      <c r="B314" s="3" t="s">
        <v>1494</v>
      </c>
      <c r="C314" s="3" t="s">
        <v>18</v>
      </c>
      <c r="D314" s="3">
        <v>2026</v>
      </c>
      <c r="E314" s="9" t="s">
        <v>546</v>
      </c>
      <c r="F314" s="4" t="s">
        <v>544</v>
      </c>
      <c r="G314" s="9" t="s">
        <v>2272</v>
      </c>
      <c r="H314" s="3">
        <v>0</v>
      </c>
      <c r="I314" s="3" t="s">
        <v>22</v>
      </c>
      <c r="J314" s="4" t="s">
        <v>1489</v>
      </c>
      <c r="K314" s="4" t="s">
        <v>23</v>
      </c>
    </row>
    <row r="315" spans="1:11" ht="28.8" x14ac:dyDescent="0.3">
      <c r="A315" s="3" t="s">
        <v>1857</v>
      </c>
      <c r="B315" s="3" t="s">
        <v>1494</v>
      </c>
      <c r="C315" s="3" t="s">
        <v>18</v>
      </c>
      <c r="D315" s="3">
        <v>2025</v>
      </c>
      <c r="E315" s="9" t="s">
        <v>564</v>
      </c>
      <c r="F315" s="4" t="s">
        <v>562</v>
      </c>
      <c r="G315" s="9" t="s">
        <v>2275</v>
      </c>
      <c r="H315" s="3">
        <v>0</v>
      </c>
      <c r="I315" s="3" t="s">
        <v>22</v>
      </c>
      <c r="J315" s="4" t="s">
        <v>1489</v>
      </c>
      <c r="K315" s="4" t="s">
        <v>23</v>
      </c>
    </row>
    <row r="316" spans="1:11" ht="43.2" x14ac:dyDescent="0.3">
      <c r="A316" s="3" t="s">
        <v>1861</v>
      </c>
      <c r="B316" s="3" t="s">
        <v>1494</v>
      </c>
      <c r="C316" s="3" t="s">
        <v>18</v>
      </c>
      <c r="D316" s="3">
        <v>2025</v>
      </c>
      <c r="E316" s="9" t="s">
        <v>718</v>
      </c>
      <c r="F316" s="4" t="s">
        <v>1862</v>
      </c>
      <c r="G316" s="9" t="s">
        <v>2300</v>
      </c>
      <c r="H316" s="3">
        <v>0</v>
      </c>
      <c r="I316" s="3" t="s">
        <v>22</v>
      </c>
      <c r="J316" s="4" t="s">
        <v>1489</v>
      </c>
      <c r="K316" s="4" t="s">
        <v>579</v>
      </c>
    </row>
    <row r="317" spans="1:11" ht="28.8" x14ac:dyDescent="0.3">
      <c r="A317" s="3" t="s">
        <v>1866</v>
      </c>
      <c r="B317" s="3" t="s">
        <v>1494</v>
      </c>
      <c r="C317" s="3" t="s">
        <v>18</v>
      </c>
      <c r="D317" s="3">
        <v>2025</v>
      </c>
      <c r="E317" s="9" t="s">
        <v>682</v>
      </c>
      <c r="F317" s="4" t="s">
        <v>680</v>
      </c>
      <c r="G317" s="9" t="s">
        <v>2294</v>
      </c>
      <c r="H317" s="3">
        <v>0</v>
      </c>
      <c r="I317" s="3" t="s">
        <v>22</v>
      </c>
      <c r="J317" s="4" t="s">
        <v>1489</v>
      </c>
      <c r="K317" s="4" t="s">
        <v>37</v>
      </c>
    </row>
    <row r="318" spans="1:11" ht="28.8" x14ac:dyDescent="0.3">
      <c r="A318" s="3" t="s">
        <v>1869</v>
      </c>
      <c r="B318" s="3" t="s">
        <v>1494</v>
      </c>
      <c r="C318" s="3" t="s">
        <v>18</v>
      </c>
      <c r="D318" s="3">
        <v>2025</v>
      </c>
      <c r="E318" s="9" t="s">
        <v>207</v>
      </c>
      <c r="F318" s="4" t="s">
        <v>1870</v>
      </c>
      <c r="G318" s="9" t="s">
        <v>2479</v>
      </c>
      <c r="H318" s="3">
        <v>1</v>
      </c>
      <c r="I318" s="3" t="s">
        <v>22</v>
      </c>
      <c r="J318" s="4" t="s">
        <v>1489</v>
      </c>
      <c r="K318" s="4" t="s">
        <v>1344</v>
      </c>
    </row>
    <row r="319" spans="1:11" ht="28.8" x14ac:dyDescent="0.3">
      <c r="A319" s="3" t="s">
        <v>1873</v>
      </c>
      <c r="B319" s="3" t="s">
        <v>1494</v>
      </c>
      <c r="C319" s="3" t="s">
        <v>18</v>
      </c>
      <c r="D319" s="3">
        <v>2025</v>
      </c>
      <c r="E319" s="9" t="s">
        <v>1876</v>
      </c>
      <c r="F319" s="4" t="s">
        <v>1874</v>
      </c>
      <c r="G319" s="9" t="s">
        <v>2480</v>
      </c>
      <c r="H319" s="3">
        <v>1</v>
      </c>
      <c r="I319" s="3" t="s">
        <v>22</v>
      </c>
      <c r="J319" s="4" t="s">
        <v>1489</v>
      </c>
      <c r="K319" s="4" t="s">
        <v>260</v>
      </c>
    </row>
    <row r="320" spans="1:11" ht="43.2" x14ac:dyDescent="0.3">
      <c r="A320" s="3" t="s">
        <v>1879</v>
      </c>
      <c r="B320" s="3" t="s">
        <v>1494</v>
      </c>
      <c r="C320" s="3" t="s">
        <v>18</v>
      </c>
      <c r="D320" s="3">
        <v>2025</v>
      </c>
      <c r="E320" s="9" t="s">
        <v>1882</v>
      </c>
      <c r="F320" s="4" t="s">
        <v>1880</v>
      </c>
      <c r="G320" s="9" t="s">
        <v>2481</v>
      </c>
      <c r="H320" s="3">
        <v>1</v>
      </c>
      <c r="I320" s="3" t="s">
        <v>22</v>
      </c>
      <c r="J320" s="4" t="s">
        <v>1489</v>
      </c>
      <c r="K320" s="4" t="s">
        <v>120</v>
      </c>
    </row>
    <row r="321" spans="1:11" ht="43.2" x14ac:dyDescent="0.3">
      <c r="A321" s="3" t="s">
        <v>1885</v>
      </c>
      <c r="B321" s="3" t="s">
        <v>1494</v>
      </c>
      <c r="C321" s="3" t="s">
        <v>18</v>
      </c>
      <c r="D321" s="3">
        <v>2025</v>
      </c>
      <c r="E321" s="9" t="s">
        <v>207</v>
      </c>
      <c r="F321" s="4" t="s">
        <v>1886</v>
      </c>
      <c r="G321" s="9" t="s">
        <v>2482</v>
      </c>
      <c r="H321" s="3">
        <v>1</v>
      </c>
      <c r="I321" s="3" t="s">
        <v>22</v>
      </c>
      <c r="J321" s="4" t="s">
        <v>1489</v>
      </c>
      <c r="K321" s="4" t="s">
        <v>23</v>
      </c>
    </row>
    <row r="322" spans="1:11" ht="28.8" x14ac:dyDescent="0.3">
      <c r="A322" s="3" t="s">
        <v>1889</v>
      </c>
      <c r="B322" s="3" t="s">
        <v>1494</v>
      </c>
      <c r="C322" s="3" t="s">
        <v>18</v>
      </c>
      <c r="D322" s="3">
        <v>2024</v>
      </c>
      <c r="E322" s="9" t="s">
        <v>207</v>
      </c>
      <c r="F322" s="4" t="s">
        <v>1890</v>
      </c>
      <c r="G322" s="9" t="s">
        <v>2483</v>
      </c>
      <c r="H322" s="3">
        <v>1</v>
      </c>
      <c r="I322" s="3" t="s">
        <v>22</v>
      </c>
      <c r="J322" s="4" t="s">
        <v>1489</v>
      </c>
      <c r="K322" s="4" t="s">
        <v>141</v>
      </c>
    </row>
    <row r="323" spans="1:11" ht="43.2" x14ac:dyDescent="0.3">
      <c r="A323" s="3" t="s">
        <v>1893</v>
      </c>
      <c r="B323" s="3" t="s">
        <v>1494</v>
      </c>
      <c r="C323" s="3" t="s">
        <v>18</v>
      </c>
      <c r="D323" s="3">
        <v>2025</v>
      </c>
      <c r="E323" s="9" t="s">
        <v>1896</v>
      </c>
      <c r="F323" s="4" t="s">
        <v>1894</v>
      </c>
      <c r="G323" s="9" t="s">
        <v>2484</v>
      </c>
      <c r="H323" s="3">
        <v>1</v>
      </c>
      <c r="I323" s="3" t="s">
        <v>22</v>
      </c>
      <c r="J323" s="4" t="s">
        <v>1489</v>
      </c>
      <c r="K323" s="4" t="s">
        <v>235</v>
      </c>
    </row>
    <row r="324" spans="1:11" ht="28.8" x14ac:dyDescent="0.3">
      <c r="A324" s="3" t="s">
        <v>1899</v>
      </c>
      <c r="B324" s="3" t="s">
        <v>1494</v>
      </c>
      <c r="C324" s="3" t="s">
        <v>18</v>
      </c>
      <c r="D324" s="3">
        <v>2025</v>
      </c>
      <c r="E324" s="9" t="s">
        <v>1902</v>
      </c>
      <c r="F324" s="4" t="s">
        <v>1900</v>
      </c>
      <c r="G324" s="9" t="s">
        <v>2485</v>
      </c>
      <c r="H324" s="3">
        <v>1</v>
      </c>
      <c r="I324" s="3" t="s">
        <v>22</v>
      </c>
      <c r="J324" s="4" t="s">
        <v>1489</v>
      </c>
      <c r="K324" s="4" t="s">
        <v>161</v>
      </c>
    </row>
    <row r="325" spans="1:11" ht="28.8" x14ac:dyDescent="0.3">
      <c r="A325" s="3" t="s">
        <v>1905</v>
      </c>
      <c r="B325" s="3" t="s">
        <v>1494</v>
      </c>
      <c r="C325" s="3" t="s">
        <v>18</v>
      </c>
      <c r="D325" s="3">
        <v>2026</v>
      </c>
      <c r="E325" s="9" t="s">
        <v>1908</v>
      </c>
      <c r="F325" s="4" t="s">
        <v>1906</v>
      </c>
      <c r="G325" s="9" t="s">
        <v>2486</v>
      </c>
      <c r="H325" s="3">
        <v>1</v>
      </c>
      <c r="I325" s="3" t="s">
        <v>22</v>
      </c>
      <c r="J325" s="4" t="s">
        <v>1489</v>
      </c>
      <c r="K325" s="4" t="s">
        <v>66</v>
      </c>
    </row>
    <row r="326" spans="1:11" ht="28.8" x14ac:dyDescent="0.3">
      <c r="A326" s="3" t="s">
        <v>1911</v>
      </c>
      <c r="B326" s="3" t="s">
        <v>1494</v>
      </c>
      <c r="C326" s="3" t="s">
        <v>18</v>
      </c>
      <c r="D326" s="3">
        <v>2026</v>
      </c>
      <c r="E326" s="9" t="s">
        <v>1914</v>
      </c>
      <c r="F326" s="4" t="s">
        <v>1912</v>
      </c>
      <c r="G326" s="9" t="s">
        <v>2487</v>
      </c>
      <c r="H326" s="3">
        <v>1</v>
      </c>
      <c r="I326" s="3" t="s">
        <v>22</v>
      </c>
      <c r="J326" s="4" t="s">
        <v>1489</v>
      </c>
      <c r="K326" s="4" t="s">
        <v>51</v>
      </c>
    </row>
    <row r="327" spans="1:11" ht="28.8" x14ac:dyDescent="0.3">
      <c r="A327" s="3" t="s">
        <v>1917</v>
      </c>
      <c r="B327" s="3" t="s">
        <v>1494</v>
      </c>
      <c r="C327" s="3" t="s">
        <v>18</v>
      </c>
      <c r="D327" s="3">
        <v>2025</v>
      </c>
      <c r="E327" s="9" t="s">
        <v>381</v>
      </c>
      <c r="F327" s="4" t="s">
        <v>379</v>
      </c>
      <c r="G327" s="9" t="s">
        <v>2245</v>
      </c>
      <c r="H327" s="3">
        <v>0</v>
      </c>
      <c r="I327" s="3" t="s">
        <v>22</v>
      </c>
      <c r="J327" s="4" t="s">
        <v>1489</v>
      </c>
      <c r="K327" s="4" t="s">
        <v>23</v>
      </c>
    </row>
    <row r="328" spans="1:11" ht="43.2" x14ac:dyDescent="0.3">
      <c r="A328" s="3" t="s">
        <v>1921</v>
      </c>
      <c r="B328" s="3" t="s">
        <v>1494</v>
      </c>
      <c r="C328" s="3" t="s">
        <v>18</v>
      </c>
      <c r="D328" s="3">
        <v>2025</v>
      </c>
      <c r="E328" s="9" t="s">
        <v>1924</v>
      </c>
      <c r="F328" s="4" t="s">
        <v>1922</v>
      </c>
      <c r="G328" s="9" t="s">
        <v>2488</v>
      </c>
      <c r="H328" s="3">
        <v>1</v>
      </c>
      <c r="I328" s="3" t="s">
        <v>22</v>
      </c>
      <c r="J328" s="4" t="s">
        <v>1489</v>
      </c>
      <c r="K328" s="4" t="s">
        <v>260</v>
      </c>
    </row>
    <row r="329" spans="1:11" ht="28.8" x14ac:dyDescent="0.3">
      <c r="A329" s="3" t="s">
        <v>1927</v>
      </c>
      <c r="B329" s="3" t="s">
        <v>1494</v>
      </c>
      <c r="C329" s="3" t="s">
        <v>18</v>
      </c>
      <c r="D329" s="3">
        <v>2025</v>
      </c>
      <c r="E329" s="9" t="s">
        <v>1930</v>
      </c>
      <c r="F329" s="4" t="s">
        <v>1928</v>
      </c>
      <c r="G329" s="9" t="s">
        <v>2489</v>
      </c>
      <c r="H329" s="3">
        <v>1</v>
      </c>
      <c r="I329" s="3" t="s">
        <v>22</v>
      </c>
      <c r="J329" s="4" t="s">
        <v>1489</v>
      </c>
      <c r="K329" s="4" t="s">
        <v>1255</v>
      </c>
    </row>
    <row r="330" spans="1:11" ht="28.8" x14ac:dyDescent="0.3">
      <c r="A330" s="3" t="s">
        <v>1935</v>
      </c>
      <c r="B330" s="3" t="s">
        <v>17</v>
      </c>
      <c r="C330" s="3" t="s">
        <v>1938</v>
      </c>
      <c r="D330" s="3">
        <v>2025</v>
      </c>
      <c r="E330" s="9" t="s">
        <v>1939</v>
      </c>
      <c r="F330" s="4" t="s">
        <v>1936</v>
      </c>
      <c r="G330" s="9" t="s">
        <v>2490</v>
      </c>
      <c r="H330" s="3">
        <v>1</v>
      </c>
      <c r="I330" s="3" t="s">
        <v>22</v>
      </c>
      <c r="J330" s="4" t="s">
        <v>1933</v>
      </c>
      <c r="K330" s="4" t="s">
        <v>647</v>
      </c>
    </row>
    <row r="331" spans="1:11" ht="28.8" x14ac:dyDescent="0.3">
      <c r="A331" s="3" t="s">
        <v>1942</v>
      </c>
      <c r="B331" s="3" t="s">
        <v>17</v>
      </c>
      <c r="C331" s="3" t="s">
        <v>1938</v>
      </c>
      <c r="D331" s="3">
        <v>2025</v>
      </c>
      <c r="E331" s="9" t="s">
        <v>1945</v>
      </c>
      <c r="F331" s="4" t="s">
        <v>1943</v>
      </c>
      <c r="G331" s="9" t="s">
        <v>2491</v>
      </c>
      <c r="H331" s="3">
        <v>1</v>
      </c>
      <c r="I331" s="3" t="s">
        <v>50</v>
      </c>
      <c r="J331" s="4" t="s">
        <v>1933</v>
      </c>
      <c r="K331" s="4" t="s">
        <v>37</v>
      </c>
    </row>
    <row r="332" spans="1:11" ht="28.8" x14ac:dyDescent="0.3">
      <c r="A332" s="3" t="s">
        <v>1948</v>
      </c>
      <c r="B332" s="3" t="s">
        <v>17</v>
      </c>
      <c r="C332" s="3" t="s">
        <v>1938</v>
      </c>
      <c r="D332" s="3">
        <v>2026</v>
      </c>
      <c r="E332" s="9" t="s">
        <v>1951</v>
      </c>
      <c r="F332" s="4" t="s">
        <v>1949</v>
      </c>
      <c r="G332" s="9" t="s">
        <v>2492</v>
      </c>
      <c r="H332" s="3">
        <v>1</v>
      </c>
      <c r="I332" s="3" t="s">
        <v>22</v>
      </c>
      <c r="J332" s="4" t="s">
        <v>1933</v>
      </c>
      <c r="K332" s="4" t="s">
        <v>1954</v>
      </c>
    </row>
    <row r="333" spans="1:11" ht="28.8" x14ac:dyDescent="0.3">
      <c r="A333" s="3" t="s">
        <v>1955</v>
      </c>
      <c r="B333" s="3" t="s">
        <v>17</v>
      </c>
      <c r="C333" s="3" t="s">
        <v>1938</v>
      </c>
      <c r="D333" s="3">
        <v>2026</v>
      </c>
      <c r="E333" s="9" t="s">
        <v>1958</v>
      </c>
      <c r="F333" s="4" t="s">
        <v>1956</v>
      </c>
      <c r="G333" s="9" t="s">
        <v>2493</v>
      </c>
      <c r="H333" s="3">
        <v>1</v>
      </c>
      <c r="I333" s="3" t="s">
        <v>22</v>
      </c>
      <c r="J333" s="4" t="s">
        <v>1933</v>
      </c>
      <c r="K333" s="4" t="s">
        <v>120</v>
      </c>
    </row>
    <row r="334" spans="1:11" ht="28.8" x14ac:dyDescent="0.3">
      <c r="A334" s="3" t="s">
        <v>1961</v>
      </c>
      <c r="B334" s="3" t="s">
        <v>17</v>
      </c>
      <c r="C334" s="3" t="s">
        <v>1938</v>
      </c>
      <c r="D334" s="3">
        <v>2026</v>
      </c>
      <c r="E334" s="9" t="s">
        <v>145</v>
      </c>
      <c r="F334" s="4" t="s">
        <v>143</v>
      </c>
      <c r="G334" s="9" t="s">
        <v>2207</v>
      </c>
      <c r="H334" s="3">
        <v>0</v>
      </c>
      <c r="I334" s="3" t="s">
        <v>22</v>
      </c>
      <c r="J334" s="4" t="s">
        <v>1933</v>
      </c>
      <c r="K334" s="4" t="s">
        <v>23</v>
      </c>
    </row>
    <row r="335" spans="1:11" ht="28.8" x14ac:dyDescent="0.3">
      <c r="A335" s="3" t="s">
        <v>1962</v>
      </c>
      <c r="B335" s="3" t="s">
        <v>17</v>
      </c>
      <c r="C335" s="3" t="s">
        <v>1938</v>
      </c>
      <c r="D335" s="3">
        <v>2025</v>
      </c>
      <c r="E335" s="9" t="s">
        <v>1965</v>
      </c>
      <c r="F335" s="4" t="s">
        <v>1963</v>
      </c>
      <c r="G335" s="9" t="s">
        <v>2494</v>
      </c>
      <c r="H335" s="3">
        <v>1</v>
      </c>
      <c r="I335" s="3" t="s">
        <v>22</v>
      </c>
      <c r="J335" s="4" t="s">
        <v>1933</v>
      </c>
      <c r="K335" s="4" t="s">
        <v>37</v>
      </c>
    </row>
    <row r="336" spans="1:11" ht="28.8" x14ac:dyDescent="0.3">
      <c r="A336" s="3" t="s">
        <v>1968</v>
      </c>
      <c r="B336" s="3" t="s">
        <v>17</v>
      </c>
      <c r="C336" s="3" t="s">
        <v>1938</v>
      </c>
      <c r="D336" s="3">
        <v>2025</v>
      </c>
      <c r="E336" s="9" t="s">
        <v>1971</v>
      </c>
      <c r="F336" s="4" t="s">
        <v>1969</v>
      </c>
      <c r="G336" s="9" t="s">
        <v>2495</v>
      </c>
      <c r="H336" s="3">
        <v>1</v>
      </c>
      <c r="I336" s="3" t="s">
        <v>22</v>
      </c>
      <c r="J336" s="4" t="s">
        <v>1933</v>
      </c>
      <c r="K336" s="4" t="s">
        <v>66</v>
      </c>
    </row>
    <row r="337" spans="1:11" ht="28.8" x14ac:dyDescent="0.3">
      <c r="A337" s="3" t="s">
        <v>1974</v>
      </c>
      <c r="B337" s="3" t="s">
        <v>17</v>
      </c>
      <c r="C337" s="3" t="s">
        <v>1938</v>
      </c>
      <c r="D337" s="3">
        <v>2025</v>
      </c>
      <c r="E337" s="9" t="s">
        <v>207</v>
      </c>
      <c r="F337" s="4" t="s">
        <v>1975</v>
      </c>
      <c r="G337" s="9" t="s">
        <v>2496</v>
      </c>
      <c r="H337" s="3">
        <v>1</v>
      </c>
      <c r="I337" s="3" t="s">
        <v>22</v>
      </c>
      <c r="J337" s="4" t="s">
        <v>1933</v>
      </c>
      <c r="K337" s="4" t="s">
        <v>66</v>
      </c>
    </row>
    <row r="338" spans="1:11" ht="28.8" x14ac:dyDescent="0.3">
      <c r="A338" s="3" t="s">
        <v>1979</v>
      </c>
      <c r="B338" s="3" t="s">
        <v>17</v>
      </c>
      <c r="C338" s="3" t="s">
        <v>1938</v>
      </c>
      <c r="D338" s="3">
        <v>2025</v>
      </c>
      <c r="E338" s="9" t="s">
        <v>522</v>
      </c>
      <c r="F338" s="4" t="s">
        <v>520</v>
      </c>
      <c r="G338" s="9" t="s">
        <v>2268</v>
      </c>
      <c r="H338" s="3">
        <v>0</v>
      </c>
      <c r="I338" s="3" t="s">
        <v>22</v>
      </c>
      <c r="J338" s="4" t="s">
        <v>1933</v>
      </c>
      <c r="K338" s="4" t="s">
        <v>37</v>
      </c>
    </row>
    <row r="339" spans="1:11" ht="28.8" x14ac:dyDescent="0.3">
      <c r="A339" s="3" t="s">
        <v>1980</v>
      </c>
      <c r="B339" s="3" t="s">
        <v>17</v>
      </c>
      <c r="C339" s="3" t="s">
        <v>1938</v>
      </c>
      <c r="D339" s="3">
        <v>2025</v>
      </c>
      <c r="E339" s="9" t="s">
        <v>1983</v>
      </c>
      <c r="F339" s="4" t="s">
        <v>1981</v>
      </c>
      <c r="G339" s="9" t="s">
        <v>2497</v>
      </c>
      <c r="H339" s="3">
        <v>1</v>
      </c>
      <c r="I339" s="3" t="s">
        <v>50</v>
      </c>
      <c r="J339" s="4" t="s">
        <v>1933</v>
      </c>
      <c r="K339" s="4" t="s">
        <v>286</v>
      </c>
    </row>
    <row r="340" spans="1:11" ht="28.8" x14ac:dyDescent="0.3">
      <c r="A340" s="3" t="s">
        <v>1986</v>
      </c>
      <c r="B340" s="3" t="s">
        <v>17</v>
      </c>
      <c r="C340" s="3" t="s">
        <v>1938</v>
      </c>
      <c r="D340" s="3">
        <v>2025</v>
      </c>
      <c r="E340" s="9" t="s">
        <v>1989</v>
      </c>
      <c r="F340" s="4" t="s">
        <v>1987</v>
      </c>
      <c r="G340" s="9" t="s">
        <v>2498</v>
      </c>
      <c r="H340" s="3">
        <v>1</v>
      </c>
      <c r="I340" s="3" t="s">
        <v>22</v>
      </c>
      <c r="J340" s="4" t="s">
        <v>1933</v>
      </c>
      <c r="K340" s="4" t="s">
        <v>1992</v>
      </c>
    </row>
    <row r="341" spans="1:11" ht="28.8" x14ac:dyDescent="0.3">
      <c r="A341" s="3" t="s">
        <v>1993</v>
      </c>
      <c r="B341" s="3" t="s">
        <v>17</v>
      </c>
      <c r="C341" s="3" t="s">
        <v>1938</v>
      </c>
      <c r="D341" s="3">
        <v>2025</v>
      </c>
      <c r="E341" s="9" t="s">
        <v>1692</v>
      </c>
      <c r="F341" s="4" t="s">
        <v>1690</v>
      </c>
      <c r="G341" s="9" t="s">
        <v>2455</v>
      </c>
      <c r="H341" s="3">
        <v>0</v>
      </c>
      <c r="I341" s="3" t="s">
        <v>22</v>
      </c>
      <c r="J341" s="4" t="s">
        <v>1933</v>
      </c>
      <c r="K341" s="4" t="s">
        <v>80</v>
      </c>
    </row>
    <row r="342" spans="1:11" ht="43.2" x14ac:dyDescent="0.3">
      <c r="A342" s="3" t="s">
        <v>1996</v>
      </c>
      <c r="B342" s="3" t="s">
        <v>17</v>
      </c>
      <c r="C342" s="3" t="s">
        <v>1938</v>
      </c>
      <c r="D342" s="3">
        <v>2024</v>
      </c>
      <c r="E342" s="9" t="s">
        <v>283</v>
      </c>
      <c r="F342" s="4" t="s">
        <v>281</v>
      </c>
      <c r="G342" s="9" t="s">
        <v>2229</v>
      </c>
      <c r="H342" s="3">
        <v>0</v>
      </c>
      <c r="I342" s="3" t="s">
        <v>22</v>
      </c>
      <c r="J342" s="4" t="s">
        <v>1933</v>
      </c>
      <c r="K342" s="4" t="s">
        <v>286</v>
      </c>
    </row>
    <row r="343" spans="1:11" ht="28.8" x14ac:dyDescent="0.3">
      <c r="A343" s="3" t="s">
        <v>1997</v>
      </c>
      <c r="B343" s="3" t="s">
        <v>17</v>
      </c>
      <c r="C343" s="3" t="s">
        <v>1938</v>
      </c>
      <c r="D343" s="3">
        <v>2025</v>
      </c>
      <c r="E343" s="9" t="s">
        <v>2000</v>
      </c>
      <c r="F343" s="4" t="s">
        <v>1998</v>
      </c>
      <c r="G343" s="9" t="s">
        <v>2499</v>
      </c>
      <c r="H343" s="3">
        <v>1</v>
      </c>
      <c r="I343" s="3" t="s">
        <v>22</v>
      </c>
      <c r="J343" s="4" t="s">
        <v>1933</v>
      </c>
      <c r="K343" s="4" t="s">
        <v>37</v>
      </c>
    </row>
    <row r="344" spans="1:11" ht="28.8" x14ac:dyDescent="0.3">
      <c r="A344" s="3" t="s">
        <v>2003</v>
      </c>
      <c r="B344" s="3" t="s">
        <v>17</v>
      </c>
      <c r="C344" s="3" t="s">
        <v>1938</v>
      </c>
      <c r="D344" s="3">
        <v>2025</v>
      </c>
      <c r="E344" s="9" t="s">
        <v>424</v>
      </c>
      <c r="F344" s="4" t="s">
        <v>422</v>
      </c>
      <c r="G344" s="9" t="s">
        <v>2252</v>
      </c>
      <c r="H344" s="3">
        <v>0</v>
      </c>
      <c r="I344" s="3" t="s">
        <v>22</v>
      </c>
      <c r="J344" s="4" t="s">
        <v>1933</v>
      </c>
      <c r="K344" s="4" t="s">
        <v>353</v>
      </c>
    </row>
    <row r="345" spans="1:11" ht="28.8" x14ac:dyDescent="0.3">
      <c r="A345" s="3" t="s">
        <v>2004</v>
      </c>
      <c r="B345" s="3" t="s">
        <v>17</v>
      </c>
      <c r="C345" s="3" t="s">
        <v>1938</v>
      </c>
      <c r="D345" s="3">
        <v>2026</v>
      </c>
      <c r="E345" s="9" t="s">
        <v>467</v>
      </c>
      <c r="F345" s="4" t="s">
        <v>465</v>
      </c>
      <c r="G345" s="9" t="s">
        <v>2259</v>
      </c>
      <c r="H345" s="3">
        <v>0</v>
      </c>
      <c r="I345" s="3" t="s">
        <v>22</v>
      </c>
      <c r="J345" s="4" t="s">
        <v>1933</v>
      </c>
      <c r="K345" s="4" t="s">
        <v>470</v>
      </c>
    </row>
    <row r="346" spans="1:11" ht="28.8" x14ac:dyDescent="0.3">
      <c r="A346" s="3" t="s">
        <v>2005</v>
      </c>
      <c r="B346" s="3" t="s">
        <v>17</v>
      </c>
      <c r="C346" s="3" t="s">
        <v>1938</v>
      </c>
      <c r="D346" s="3">
        <v>2025</v>
      </c>
      <c r="E346" s="9" t="s">
        <v>2008</v>
      </c>
      <c r="F346" s="4" t="s">
        <v>2006</v>
      </c>
      <c r="G346" s="9" t="s">
        <v>2500</v>
      </c>
      <c r="H346" s="3">
        <v>1</v>
      </c>
      <c r="I346" s="3" t="s">
        <v>22</v>
      </c>
      <c r="J346" s="4" t="s">
        <v>1933</v>
      </c>
      <c r="K346" s="4" t="s">
        <v>37</v>
      </c>
    </row>
    <row r="347" spans="1:11" ht="28.8" x14ac:dyDescent="0.3">
      <c r="A347" s="3" t="s">
        <v>2013</v>
      </c>
      <c r="B347" s="3" t="s">
        <v>773</v>
      </c>
      <c r="C347" s="3" t="s">
        <v>1938</v>
      </c>
      <c r="D347" s="3">
        <v>2025</v>
      </c>
      <c r="E347" s="9" t="s">
        <v>828</v>
      </c>
      <c r="F347" s="4" t="s">
        <v>826</v>
      </c>
      <c r="G347" s="9" t="s">
        <v>2318</v>
      </c>
      <c r="H347" s="3">
        <v>0</v>
      </c>
      <c r="I347" s="3" t="s">
        <v>50</v>
      </c>
      <c r="J347" s="4" t="s">
        <v>2011</v>
      </c>
      <c r="K347" s="4" t="s">
        <v>660</v>
      </c>
    </row>
    <row r="348" spans="1:11" ht="28.8" x14ac:dyDescent="0.3">
      <c r="A348" s="3" t="s">
        <v>2014</v>
      </c>
      <c r="B348" s="3" t="s">
        <v>773</v>
      </c>
      <c r="C348" s="3" t="s">
        <v>1938</v>
      </c>
      <c r="D348" s="3">
        <v>2026</v>
      </c>
      <c r="E348" s="9" t="s">
        <v>774</v>
      </c>
      <c r="F348" s="4" t="s">
        <v>771</v>
      </c>
      <c r="G348" s="9" t="s">
        <v>2309</v>
      </c>
      <c r="H348" s="3">
        <v>0</v>
      </c>
      <c r="I348" s="3" t="s">
        <v>50</v>
      </c>
      <c r="J348" s="4" t="s">
        <v>2011</v>
      </c>
      <c r="K348" s="4" t="s">
        <v>660</v>
      </c>
    </row>
    <row r="349" spans="1:11" ht="28.8" x14ac:dyDescent="0.3">
      <c r="A349" s="3" t="s">
        <v>2015</v>
      </c>
      <c r="B349" s="3" t="s">
        <v>773</v>
      </c>
      <c r="C349" s="3" t="s">
        <v>1938</v>
      </c>
      <c r="D349" s="3">
        <v>2025</v>
      </c>
      <c r="E349" s="9" t="s">
        <v>780</v>
      </c>
      <c r="F349" s="4" t="s">
        <v>778</v>
      </c>
      <c r="G349" s="9" t="s">
        <v>2310</v>
      </c>
      <c r="H349" s="3">
        <v>0</v>
      </c>
      <c r="I349" s="3" t="s">
        <v>50</v>
      </c>
      <c r="J349" s="4" t="s">
        <v>2011</v>
      </c>
      <c r="K349" s="4" t="s">
        <v>660</v>
      </c>
    </row>
    <row r="350" spans="1:11" ht="28.8" x14ac:dyDescent="0.3">
      <c r="A350" s="3" t="s">
        <v>2016</v>
      </c>
      <c r="B350" s="3" t="s">
        <v>773</v>
      </c>
      <c r="C350" s="3" t="s">
        <v>1938</v>
      </c>
      <c r="D350" s="3">
        <v>2026</v>
      </c>
      <c r="E350" s="9" t="s">
        <v>786</v>
      </c>
      <c r="F350" s="4" t="s">
        <v>784</v>
      </c>
      <c r="G350" s="9" t="s">
        <v>2311</v>
      </c>
      <c r="H350" s="3">
        <v>0</v>
      </c>
      <c r="I350" s="3" t="s">
        <v>50</v>
      </c>
      <c r="J350" s="4" t="s">
        <v>2011</v>
      </c>
      <c r="K350" s="4" t="s">
        <v>660</v>
      </c>
    </row>
    <row r="351" spans="1:11" ht="28.8" x14ac:dyDescent="0.3">
      <c r="A351" s="3" t="s">
        <v>2017</v>
      </c>
      <c r="B351" s="3" t="s">
        <v>773</v>
      </c>
      <c r="C351" s="3" t="s">
        <v>1938</v>
      </c>
      <c r="D351" s="3">
        <v>2025</v>
      </c>
      <c r="E351" s="9" t="s">
        <v>792</v>
      </c>
      <c r="F351" s="4" t="s">
        <v>790</v>
      </c>
      <c r="G351" s="9" t="s">
        <v>2312</v>
      </c>
      <c r="H351" s="3">
        <v>0</v>
      </c>
      <c r="I351" s="3" t="s">
        <v>50</v>
      </c>
      <c r="J351" s="4" t="s">
        <v>2011</v>
      </c>
      <c r="K351" s="4" t="s">
        <v>451</v>
      </c>
    </row>
    <row r="352" spans="1:11" ht="28.8" x14ac:dyDescent="0.3">
      <c r="A352" s="3" t="s">
        <v>2018</v>
      </c>
      <c r="B352" s="3" t="s">
        <v>773</v>
      </c>
      <c r="C352" s="3" t="s">
        <v>1938</v>
      </c>
      <c r="D352" s="3">
        <v>2025</v>
      </c>
      <c r="E352" s="9" t="s">
        <v>798</v>
      </c>
      <c r="F352" s="4" t="s">
        <v>796</v>
      </c>
      <c r="G352" s="9" t="s">
        <v>2313</v>
      </c>
      <c r="H352" s="3">
        <v>0</v>
      </c>
      <c r="I352" s="3" t="s">
        <v>50</v>
      </c>
      <c r="J352" s="4" t="s">
        <v>2011</v>
      </c>
      <c r="K352" s="4" t="s">
        <v>37</v>
      </c>
    </row>
    <row r="353" spans="1:11" ht="28.8" x14ac:dyDescent="0.3">
      <c r="A353" s="3" t="s">
        <v>2019</v>
      </c>
      <c r="B353" s="3" t="s">
        <v>773</v>
      </c>
      <c r="C353" s="3" t="s">
        <v>1938</v>
      </c>
      <c r="D353" s="3">
        <v>2025</v>
      </c>
      <c r="E353" s="9" t="s">
        <v>852</v>
      </c>
      <c r="F353" s="4" t="s">
        <v>850</v>
      </c>
      <c r="G353" s="9" t="s">
        <v>2322</v>
      </c>
      <c r="H353" s="3">
        <v>0</v>
      </c>
      <c r="I353" s="3" t="s">
        <v>50</v>
      </c>
      <c r="J353" s="4" t="s">
        <v>2011</v>
      </c>
      <c r="K353" s="4" t="s">
        <v>660</v>
      </c>
    </row>
    <row r="354" spans="1:11" ht="28.8" x14ac:dyDescent="0.3">
      <c r="A354" s="3" t="s">
        <v>2020</v>
      </c>
      <c r="B354" s="3" t="s">
        <v>773</v>
      </c>
      <c r="C354" s="3" t="s">
        <v>1938</v>
      </c>
      <c r="D354" s="3">
        <v>2025</v>
      </c>
      <c r="E354" s="9" t="s">
        <v>858</v>
      </c>
      <c r="F354" s="4" t="s">
        <v>856</v>
      </c>
      <c r="G354" s="9" t="s">
        <v>2323</v>
      </c>
      <c r="H354" s="3">
        <v>0</v>
      </c>
      <c r="I354" s="3" t="s">
        <v>22</v>
      </c>
      <c r="J354" s="4" t="s">
        <v>2011</v>
      </c>
      <c r="K354" s="4" t="s">
        <v>660</v>
      </c>
    </row>
    <row r="355" spans="1:11" ht="28.8" x14ac:dyDescent="0.3">
      <c r="A355" s="3" t="s">
        <v>2021</v>
      </c>
      <c r="B355" s="3" t="s">
        <v>773</v>
      </c>
      <c r="C355" s="3" t="s">
        <v>1938</v>
      </c>
      <c r="D355" s="3">
        <v>2025</v>
      </c>
      <c r="E355" s="9" t="s">
        <v>822</v>
      </c>
      <c r="F355" s="4" t="s">
        <v>820</v>
      </c>
      <c r="G355" s="9" t="s">
        <v>2317</v>
      </c>
      <c r="H355" s="3">
        <v>0</v>
      </c>
      <c r="I355" s="3" t="s">
        <v>22</v>
      </c>
      <c r="J355" s="4" t="s">
        <v>2011</v>
      </c>
      <c r="K355" s="4" t="s">
        <v>37</v>
      </c>
    </row>
    <row r="356" spans="1:11" ht="28.8" x14ac:dyDescent="0.3">
      <c r="A356" s="3" t="s">
        <v>2022</v>
      </c>
      <c r="B356" s="3" t="s">
        <v>773</v>
      </c>
      <c r="C356" s="3" t="s">
        <v>1938</v>
      </c>
      <c r="D356" s="3">
        <v>2025</v>
      </c>
      <c r="E356" s="9" t="s">
        <v>846</v>
      </c>
      <c r="F356" s="4" t="s">
        <v>844</v>
      </c>
      <c r="G356" s="9" t="s">
        <v>2321</v>
      </c>
      <c r="H356" s="3">
        <v>0</v>
      </c>
      <c r="I356" s="3" t="s">
        <v>50</v>
      </c>
      <c r="J356" s="4" t="s">
        <v>2011</v>
      </c>
      <c r="K356" s="4" t="s">
        <v>127</v>
      </c>
    </row>
    <row r="357" spans="1:11" ht="28.8" x14ac:dyDescent="0.3">
      <c r="A357" s="3" t="s">
        <v>2023</v>
      </c>
      <c r="B357" s="3" t="s">
        <v>773</v>
      </c>
      <c r="C357" s="3" t="s">
        <v>1938</v>
      </c>
      <c r="D357" s="3">
        <v>2025</v>
      </c>
      <c r="E357" s="9" t="s">
        <v>810</v>
      </c>
      <c r="F357" s="4" t="s">
        <v>808</v>
      </c>
      <c r="G357" s="9" t="s">
        <v>2315</v>
      </c>
      <c r="H357" s="3">
        <v>0</v>
      </c>
      <c r="I357" s="3" t="s">
        <v>50</v>
      </c>
      <c r="J357" s="4" t="s">
        <v>2011</v>
      </c>
      <c r="K357" s="4" t="s">
        <v>66</v>
      </c>
    </row>
    <row r="358" spans="1:11" ht="28.8" x14ac:dyDescent="0.3">
      <c r="A358" s="3" t="s">
        <v>2024</v>
      </c>
      <c r="B358" s="3" t="s">
        <v>773</v>
      </c>
      <c r="C358" s="3" t="s">
        <v>1938</v>
      </c>
      <c r="D358" s="3">
        <v>2025</v>
      </c>
      <c r="E358" s="9" t="s">
        <v>816</v>
      </c>
      <c r="F358" s="4" t="s">
        <v>814</v>
      </c>
      <c r="G358" s="9" t="s">
        <v>2316</v>
      </c>
      <c r="H358" s="3">
        <v>0</v>
      </c>
      <c r="I358" s="3" t="s">
        <v>50</v>
      </c>
      <c r="J358" s="4" t="s">
        <v>2011</v>
      </c>
      <c r="K358" s="4" t="s">
        <v>127</v>
      </c>
    </row>
    <row r="359" spans="1:11" ht="28.8" x14ac:dyDescent="0.3">
      <c r="A359" s="3" t="s">
        <v>2025</v>
      </c>
      <c r="B359" s="3" t="s">
        <v>773</v>
      </c>
      <c r="C359" s="3" t="s">
        <v>1938</v>
      </c>
      <c r="D359" s="3">
        <v>2025</v>
      </c>
      <c r="E359" s="9" t="s">
        <v>804</v>
      </c>
      <c r="F359" s="4" t="s">
        <v>802</v>
      </c>
      <c r="G359" s="9" t="s">
        <v>2314</v>
      </c>
      <c r="H359" s="3">
        <v>0</v>
      </c>
      <c r="I359" s="3" t="s">
        <v>50</v>
      </c>
      <c r="J359" s="4" t="s">
        <v>2011</v>
      </c>
      <c r="K359" s="4" t="s">
        <v>37</v>
      </c>
    </row>
    <row r="360" spans="1:11" x14ac:dyDescent="0.3">
      <c r="A360" s="3" t="s">
        <v>2026</v>
      </c>
      <c r="B360" s="3" t="s">
        <v>773</v>
      </c>
      <c r="C360" s="3" t="s">
        <v>1938</v>
      </c>
      <c r="D360" s="3">
        <v>2025</v>
      </c>
      <c r="E360" s="9" t="s">
        <v>834</v>
      </c>
      <c r="F360" s="4" t="s">
        <v>832</v>
      </c>
      <c r="G360" s="9" t="s">
        <v>2319</v>
      </c>
      <c r="H360" s="3">
        <v>0</v>
      </c>
      <c r="I360" s="3" t="s">
        <v>50</v>
      </c>
      <c r="J360" s="4" t="s">
        <v>2011</v>
      </c>
      <c r="K360" s="4" t="s">
        <v>210</v>
      </c>
    </row>
    <row r="361" spans="1:11" ht="28.8" x14ac:dyDescent="0.3">
      <c r="A361" s="3" t="s">
        <v>2027</v>
      </c>
      <c r="B361" s="3" t="s">
        <v>773</v>
      </c>
      <c r="C361" s="3" t="s">
        <v>1938</v>
      </c>
      <c r="D361" s="3">
        <v>2024</v>
      </c>
      <c r="E361" s="9" t="s">
        <v>876</v>
      </c>
      <c r="F361" s="4" t="s">
        <v>874</v>
      </c>
      <c r="G361" s="9" t="s">
        <v>2326</v>
      </c>
      <c r="H361" s="3">
        <v>0</v>
      </c>
      <c r="I361" s="3" t="s">
        <v>50</v>
      </c>
      <c r="J361" s="4" t="s">
        <v>2011</v>
      </c>
      <c r="K361" s="4" t="s">
        <v>127</v>
      </c>
    </row>
    <row r="362" spans="1:11" ht="28.8" x14ac:dyDescent="0.3">
      <c r="A362" s="3" t="s">
        <v>2028</v>
      </c>
      <c r="B362" s="3" t="s">
        <v>773</v>
      </c>
      <c r="C362" s="3" t="s">
        <v>1938</v>
      </c>
      <c r="D362" s="3">
        <v>2025</v>
      </c>
      <c r="E362" s="9" t="s">
        <v>882</v>
      </c>
      <c r="F362" s="4" t="s">
        <v>880</v>
      </c>
      <c r="G362" s="9" t="s">
        <v>2327</v>
      </c>
      <c r="H362" s="3">
        <v>0</v>
      </c>
      <c r="I362" s="3" t="s">
        <v>50</v>
      </c>
      <c r="J362" s="4" t="s">
        <v>2011</v>
      </c>
      <c r="K362" s="4" t="s">
        <v>885</v>
      </c>
    </row>
    <row r="363" spans="1:11" ht="28.8" x14ac:dyDescent="0.3">
      <c r="A363" s="3" t="s">
        <v>2029</v>
      </c>
      <c r="B363" s="3" t="s">
        <v>773</v>
      </c>
      <c r="C363" s="3" t="s">
        <v>1938</v>
      </c>
      <c r="D363" s="3">
        <v>2025</v>
      </c>
      <c r="E363" s="9" t="s">
        <v>938</v>
      </c>
      <c r="F363" s="4" t="s">
        <v>936</v>
      </c>
      <c r="G363" s="9" t="s">
        <v>2336</v>
      </c>
      <c r="H363" s="3">
        <v>0</v>
      </c>
      <c r="I363" s="3" t="s">
        <v>50</v>
      </c>
      <c r="J363" s="4" t="s">
        <v>2011</v>
      </c>
      <c r="K363" s="4" t="s">
        <v>127</v>
      </c>
    </row>
    <row r="364" spans="1:11" ht="28.8" x14ac:dyDescent="0.3">
      <c r="A364" s="3" t="s">
        <v>2030</v>
      </c>
      <c r="B364" s="3" t="s">
        <v>773</v>
      </c>
      <c r="C364" s="3" t="s">
        <v>1938</v>
      </c>
      <c r="D364" s="3">
        <v>2026</v>
      </c>
      <c r="E364" s="9" t="s">
        <v>975</v>
      </c>
      <c r="F364" s="4" t="s">
        <v>973</v>
      </c>
      <c r="G364" s="9" t="s">
        <v>2342</v>
      </c>
      <c r="H364" s="3">
        <v>0</v>
      </c>
      <c r="I364" s="3" t="s">
        <v>50</v>
      </c>
      <c r="J364" s="4" t="s">
        <v>2011</v>
      </c>
      <c r="K364" s="4" t="s">
        <v>978</v>
      </c>
    </row>
    <row r="365" spans="1:11" ht="28.8" x14ac:dyDescent="0.3">
      <c r="A365" s="3" t="s">
        <v>2031</v>
      </c>
      <c r="B365" s="3" t="s">
        <v>773</v>
      </c>
      <c r="C365" s="3" t="s">
        <v>1938</v>
      </c>
      <c r="D365" s="3">
        <v>2026</v>
      </c>
      <c r="E365" s="9" t="s">
        <v>840</v>
      </c>
      <c r="F365" s="4" t="s">
        <v>838</v>
      </c>
      <c r="G365" s="9" t="s">
        <v>2320</v>
      </c>
      <c r="H365" s="3">
        <v>0</v>
      </c>
      <c r="I365" s="3" t="s">
        <v>50</v>
      </c>
      <c r="J365" s="4" t="s">
        <v>2011</v>
      </c>
      <c r="K365" s="4" t="s">
        <v>127</v>
      </c>
    </row>
    <row r="366" spans="1:11" ht="28.8" x14ac:dyDescent="0.3">
      <c r="A366" s="3" t="s">
        <v>2032</v>
      </c>
      <c r="B366" s="3" t="s">
        <v>773</v>
      </c>
      <c r="C366" s="3" t="s">
        <v>1938</v>
      </c>
      <c r="D366" s="3">
        <v>2025</v>
      </c>
      <c r="E366" s="9" t="s">
        <v>870</v>
      </c>
      <c r="F366" s="4" t="s">
        <v>868</v>
      </c>
      <c r="G366" s="9" t="s">
        <v>2325</v>
      </c>
      <c r="H366" s="3">
        <v>0</v>
      </c>
      <c r="I366" s="3" t="s">
        <v>50</v>
      </c>
      <c r="J366" s="4" t="s">
        <v>2011</v>
      </c>
      <c r="K366" s="4" t="s">
        <v>127</v>
      </c>
    </row>
    <row r="367" spans="1:11" ht="28.8" x14ac:dyDescent="0.3">
      <c r="A367" s="3" t="s">
        <v>2033</v>
      </c>
      <c r="B367" s="3" t="s">
        <v>773</v>
      </c>
      <c r="C367" s="3" t="s">
        <v>1938</v>
      </c>
      <c r="D367" s="3">
        <v>2025</v>
      </c>
      <c r="E367" s="9" t="s">
        <v>889</v>
      </c>
      <c r="F367" s="4" t="s">
        <v>887</v>
      </c>
      <c r="G367" s="9" t="s">
        <v>2328</v>
      </c>
      <c r="H367" s="3">
        <v>0</v>
      </c>
      <c r="I367" s="3" t="s">
        <v>50</v>
      </c>
      <c r="J367" s="4" t="s">
        <v>2011</v>
      </c>
      <c r="K367" s="4" t="s">
        <v>451</v>
      </c>
    </row>
    <row r="368" spans="1:11" x14ac:dyDescent="0.3">
      <c r="A368" s="3" t="s">
        <v>2034</v>
      </c>
      <c r="B368" s="3" t="s">
        <v>773</v>
      </c>
      <c r="C368" s="3" t="s">
        <v>1938</v>
      </c>
      <c r="D368" s="3">
        <v>2025</v>
      </c>
      <c r="E368" s="9" t="s">
        <v>1072</v>
      </c>
      <c r="F368" s="4" t="s">
        <v>1070</v>
      </c>
      <c r="G368" s="9" t="s">
        <v>2358</v>
      </c>
      <c r="H368" s="3">
        <v>0</v>
      </c>
      <c r="I368" s="3" t="s">
        <v>50</v>
      </c>
      <c r="J368" s="4" t="s">
        <v>2011</v>
      </c>
      <c r="K368" s="4" t="s">
        <v>286</v>
      </c>
    </row>
    <row r="369" spans="1:11" x14ac:dyDescent="0.3">
      <c r="A369" s="3" t="s">
        <v>2035</v>
      </c>
      <c r="B369" s="3" t="s">
        <v>773</v>
      </c>
      <c r="C369" s="3" t="s">
        <v>1938</v>
      </c>
      <c r="D369" s="3">
        <v>2026</v>
      </c>
      <c r="E369" s="9" t="s">
        <v>963</v>
      </c>
      <c r="F369" s="4" t="s">
        <v>961</v>
      </c>
      <c r="G369" s="9" t="s">
        <v>2340</v>
      </c>
      <c r="H369" s="3">
        <v>0</v>
      </c>
      <c r="I369" s="3" t="s">
        <v>22</v>
      </c>
      <c r="J369" s="4" t="s">
        <v>2011</v>
      </c>
      <c r="K369" s="4" t="s">
        <v>660</v>
      </c>
    </row>
    <row r="370" spans="1:11" ht="28.8" x14ac:dyDescent="0.3">
      <c r="A370" s="3" t="s">
        <v>2036</v>
      </c>
      <c r="B370" s="3" t="s">
        <v>773</v>
      </c>
      <c r="C370" s="3" t="s">
        <v>1938</v>
      </c>
      <c r="D370" s="3">
        <v>2025</v>
      </c>
      <c r="E370" s="9" t="s">
        <v>1114</v>
      </c>
      <c r="F370" s="4" t="s">
        <v>1112</v>
      </c>
      <c r="G370" s="9" t="s">
        <v>2365</v>
      </c>
      <c r="H370" s="3">
        <v>0</v>
      </c>
      <c r="I370" s="3" t="s">
        <v>50</v>
      </c>
      <c r="J370" s="4" t="s">
        <v>2011</v>
      </c>
      <c r="K370" s="4" t="s">
        <v>127</v>
      </c>
    </row>
    <row r="371" spans="1:11" ht="43.2" x14ac:dyDescent="0.3">
      <c r="A371" s="3" t="s">
        <v>2037</v>
      </c>
      <c r="B371" s="3" t="s">
        <v>773</v>
      </c>
      <c r="C371" s="3" t="s">
        <v>1938</v>
      </c>
      <c r="D371" s="3">
        <v>2025</v>
      </c>
      <c r="E371" s="9" t="s">
        <v>895</v>
      </c>
      <c r="F371" s="4" t="s">
        <v>893</v>
      </c>
      <c r="G371" s="9" t="s">
        <v>2329</v>
      </c>
      <c r="H371" s="3">
        <v>0</v>
      </c>
      <c r="I371" s="3" t="s">
        <v>22</v>
      </c>
      <c r="J371" s="4" t="s">
        <v>2011</v>
      </c>
      <c r="K371" s="4" t="s">
        <v>898</v>
      </c>
    </row>
    <row r="372" spans="1:11" ht="28.8" x14ac:dyDescent="0.3">
      <c r="A372" s="3" t="s">
        <v>2038</v>
      </c>
      <c r="B372" s="3" t="s">
        <v>773</v>
      </c>
      <c r="C372" s="3" t="s">
        <v>1938</v>
      </c>
      <c r="D372" s="3">
        <v>2025</v>
      </c>
      <c r="E372" s="9" t="s">
        <v>902</v>
      </c>
      <c r="F372" s="4" t="s">
        <v>900</v>
      </c>
      <c r="G372" s="9" t="s">
        <v>2330</v>
      </c>
      <c r="H372" s="3">
        <v>0</v>
      </c>
      <c r="I372" s="3" t="s">
        <v>22</v>
      </c>
      <c r="J372" s="4" t="s">
        <v>2011</v>
      </c>
      <c r="K372" s="4" t="s">
        <v>161</v>
      </c>
    </row>
    <row r="373" spans="1:11" ht="28.8" x14ac:dyDescent="0.3">
      <c r="A373" s="3" t="s">
        <v>2039</v>
      </c>
      <c r="B373" s="3" t="s">
        <v>773</v>
      </c>
      <c r="C373" s="3" t="s">
        <v>1938</v>
      </c>
      <c r="D373" s="3">
        <v>2025</v>
      </c>
      <c r="E373" s="9" t="s">
        <v>1174</v>
      </c>
      <c r="F373" s="4" t="s">
        <v>1172</v>
      </c>
      <c r="G373" s="9" t="s">
        <v>2375</v>
      </c>
      <c r="H373" s="3">
        <v>0</v>
      </c>
      <c r="I373" s="3" t="s">
        <v>50</v>
      </c>
      <c r="J373" s="4" t="s">
        <v>2011</v>
      </c>
      <c r="K373" s="4" t="s">
        <v>210</v>
      </c>
    </row>
    <row r="374" spans="1:11" ht="43.2" x14ac:dyDescent="0.3">
      <c r="A374" s="3" t="s">
        <v>2040</v>
      </c>
      <c r="B374" s="3" t="s">
        <v>773</v>
      </c>
      <c r="C374" s="3" t="s">
        <v>1938</v>
      </c>
      <c r="D374" s="3">
        <v>2025</v>
      </c>
      <c r="E374" s="9" t="s">
        <v>920</v>
      </c>
      <c r="F374" s="4" t="s">
        <v>918</v>
      </c>
      <c r="G374" s="9" t="s">
        <v>2333</v>
      </c>
      <c r="H374" s="3">
        <v>0</v>
      </c>
      <c r="I374" s="3" t="s">
        <v>50</v>
      </c>
      <c r="J374" s="4" t="s">
        <v>2011</v>
      </c>
      <c r="K374" s="4" t="s">
        <v>273</v>
      </c>
    </row>
    <row r="375" spans="1:11" ht="28.8" x14ac:dyDescent="0.3">
      <c r="A375" s="3" t="s">
        <v>2041</v>
      </c>
      <c r="B375" s="3" t="s">
        <v>773</v>
      </c>
      <c r="C375" s="3" t="s">
        <v>1938</v>
      </c>
      <c r="D375" s="3">
        <v>2025</v>
      </c>
      <c r="E375" s="9" t="s">
        <v>1277</v>
      </c>
      <c r="F375" s="4" t="s">
        <v>1275</v>
      </c>
      <c r="G375" s="9" t="s">
        <v>2392</v>
      </c>
      <c r="H375" s="3">
        <v>0</v>
      </c>
      <c r="I375" s="3" t="s">
        <v>50</v>
      </c>
      <c r="J375" s="4" t="s">
        <v>2011</v>
      </c>
      <c r="K375" s="4" t="s">
        <v>660</v>
      </c>
    </row>
    <row r="376" spans="1:11" ht="28.8" x14ac:dyDescent="0.3">
      <c r="A376" s="3" t="s">
        <v>2042</v>
      </c>
      <c r="B376" s="3" t="s">
        <v>773</v>
      </c>
      <c r="C376" s="3" t="s">
        <v>1938</v>
      </c>
      <c r="D376" s="3">
        <v>2024</v>
      </c>
      <c r="E376" s="9" t="s">
        <v>1301</v>
      </c>
      <c r="F376" s="4" t="s">
        <v>1299</v>
      </c>
      <c r="G376" s="9" t="s">
        <v>2396</v>
      </c>
      <c r="H376" s="3">
        <v>0</v>
      </c>
      <c r="I376" s="3" t="s">
        <v>50</v>
      </c>
      <c r="J376" s="4" t="s">
        <v>2011</v>
      </c>
      <c r="K376" s="4" t="s">
        <v>260</v>
      </c>
    </row>
    <row r="377" spans="1:11" x14ac:dyDescent="0.3">
      <c r="A377" s="3" t="s">
        <v>2043</v>
      </c>
      <c r="B377" s="3" t="s">
        <v>773</v>
      </c>
      <c r="C377" s="3" t="s">
        <v>1938</v>
      </c>
      <c r="D377" s="3">
        <v>2025</v>
      </c>
      <c r="E377" s="9" t="s">
        <v>944</v>
      </c>
      <c r="F377" s="4" t="s">
        <v>942</v>
      </c>
      <c r="G377" s="9" t="s">
        <v>2337</v>
      </c>
      <c r="H377" s="3">
        <v>0</v>
      </c>
      <c r="I377" s="3" t="s">
        <v>50</v>
      </c>
      <c r="J377" s="4" t="s">
        <v>2011</v>
      </c>
      <c r="K377" s="4" t="s">
        <v>451</v>
      </c>
    </row>
    <row r="378" spans="1:11" ht="28.8" x14ac:dyDescent="0.3">
      <c r="A378" s="3" t="s">
        <v>2044</v>
      </c>
      <c r="B378" s="3" t="s">
        <v>773</v>
      </c>
      <c r="C378" s="3" t="s">
        <v>1938</v>
      </c>
      <c r="D378" s="3">
        <v>2023</v>
      </c>
      <c r="E378" s="9" t="s">
        <v>1313</v>
      </c>
      <c r="F378" s="4" t="s">
        <v>1311</v>
      </c>
      <c r="G378" s="9" t="s">
        <v>2398</v>
      </c>
      <c r="H378" s="3">
        <v>0</v>
      </c>
      <c r="I378" s="3" t="s">
        <v>50</v>
      </c>
      <c r="J378" s="4" t="s">
        <v>2011</v>
      </c>
      <c r="K378" s="4" t="s">
        <v>451</v>
      </c>
    </row>
    <row r="379" spans="1:11" x14ac:dyDescent="0.3">
      <c r="A379" s="3" t="s">
        <v>2045</v>
      </c>
      <c r="B379" s="3" t="s">
        <v>773</v>
      </c>
      <c r="C379" s="3" t="s">
        <v>1938</v>
      </c>
      <c r="D379" s="3">
        <v>2025</v>
      </c>
      <c r="E379" s="9" t="s">
        <v>1216</v>
      </c>
      <c r="F379" s="4" t="s">
        <v>1214</v>
      </c>
      <c r="G379" s="9" t="s">
        <v>2382</v>
      </c>
      <c r="H379" s="3">
        <v>0</v>
      </c>
      <c r="I379" s="3" t="s">
        <v>50</v>
      </c>
      <c r="J379" s="4" t="s">
        <v>2011</v>
      </c>
      <c r="K379" s="4" t="s">
        <v>127</v>
      </c>
    </row>
    <row r="380" spans="1:11" ht="28.8" x14ac:dyDescent="0.3">
      <c r="A380" s="3" t="s">
        <v>2046</v>
      </c>
      <c r="B380" s="3" t="s">
        <v>773</v>
      </c>
      <c r="C380" s="3" t="s">
        <v>1938</v>
      </c>
      <c r="D380" s="3">
        <v>2025</v>
      </c>
      <c r="E380" s="9" t="s">
        <v>1150</v>
      </c>
      <c r="F380" s="4" t="s">
        <v>1148</v>
      </c>
      <c r="G380" s="9" t="s">
        <v>2371</v>
      </c>
      <c r="H380" s="3">
        <v>0</v>
      </c>
      <c r="I380" s="3" t="s">
        <v>50</v>
      </c>
      <c r="J380" s="4" t="s">
        <v>2011</v>
      </c>
      <c r="K380" s="4" t="s">
        <v>134</v>
      </c>
    </row>
    <row r="381" spans="1:11" ht="28.8" x14ac:dyDescent="0.3">
      <c r="A381" s="3" t="s">
        <v>2047</v>
      </c>
      <c r="B381" s="3" t="s">
        <v>773</v>
      </c>
      <c r="C381" s="3" t="s">
        <v>1938</v>
      </c>
      <c r="D381" s="3">
        <v>2025</v>
      </c>
      <c r="E381" s="9" t="s">
        <v>994</v>
      </c>
      <c r="F381" s="4" t="s">
        <v>992</v>
      </c>
      <c r="G381" s="9" t="s">
        <v>2345</v>
      </c>
      <c r="H381" s="3">
        <v>0</v>
      </c>
      <c r="I381" s="3" t="s">
        <v>50</v>
      </c>
      <c r="J381" s="4" t="s">
        <v>2011</v>
      </c>
      <c r="K381" s="4" t="s">
        <v>134</v>
      </c>
    </row>
    <row r="382" spans="1:11" ht="28.8" x14ac:dyDescent="0.3">
      <c r="A382" s="3" t="s">
        <v>2048</v>
      </c>
      <c r="B382" s="3" t="s">
        <v>773</v>
      </c>
      <c r="C382" s="3" t="s">
        <v>1938</v>
      </c>
      <c r="D382" s="3">
        <v>2025</v>
      </c>
      <c r="E382" s="9" t="s">
        <v>957</v>
      </c>
      <c r="F382" s="4" t="s">
        <v>955</v>
      </c>
      <c r="G382" s="9" t="s">
        <v>2339</v>
      </c>
      <c r="H382" s="3">
        <v>0</v>
      </c>
      <c r="I382" s="3" t="s">
        <v>22</v>
      </c>
      <c r="J382" s="4" t="s">
        <v>2011</v>
      </c>
      <c r="K382" s="4" t="s">
        <v>37</v>
      </c>
    </row>
    <row r="383" spans="1:11" ht="28.8" x14ac:dyDescent="0.3">
      <c r="A383" s="3" t="s">
        <v>2049</v>
      </c>
      <c r="B383" s="3" t="s">
        <v>773</v>
      </c>
      <c r="C383" s="3" t="s">
        <v>1938</v>
      </c>
      <c r="D383" s="3">
        <v>2025</v>
      </c>
      <c r="E383" s="9" t="s">
        <v>932</v>
      </c>
      <c r="F383" s="4" t="s">
        <v>930</v>
      </c>
      <c r="G383" s="9" t="s">
        <v>2335</v>
      </c>
      <c r="H383" s="3">
        <v>0</v>
      </c>
      <c r="I383" s="3" t="s">
        <v>50</v>
      </c>
      <c r="J383" s="4" t="s">
        <v>2011</v>
      </c>
      <c r="K383" s="4" t="s">
        <v>127</v>
      </c>
    </row>
    <row r="384" spans="1:11" ht="28.8" x14ac:dyDescent="0.3">
      <c r="A384" s="3" t="s">
        <v>2050</v>
      </c>
      <c r="B384" s="3" t="s">
        <v>773</v>
      </c>
      <c r="C384" s="3" t="s">
        <v>1938</v>
      </c>
      <c r="D384" s="3">
        <v>2025</v>
      </c>
      <c r="E384" s="9" t="s">
        <v>1000</v>
      </c>
      <c r="F384" s="4" t="s">
        <v>998</v>
      </c>
      <c r="G384" s="9" t="s">
        <v>2346</v>
      </c>
      <c r="H384" s="3">
        <v>0</v>
      </c>
      <c r="I384" s="3" t="s">
        <v>50</v>
      </c>
      <c r="J384" s="4" t="s">
        <v>2011</v>
      </c>
      <c r="K384" s="4" t="s">
        <v>451</v>
      </c>
    </row>
    <row r="385" spans="1:11" ht="28.8" x14ac:dyDescent="0.3">
      <c r="A385" s="3" t="s">
        <v>2051</v>
      </c>
      <c r="B385" s="3" t="s">
        <v>773</v>
      </c>
      <c r="C385" s="3" t="s">
        <v>1938</v>
      </c>
      <c r="D385" s="3">
        <v>2025</v>
      </c>
      <c r="E385" s="9" t="s">
        <v>1198</v>
      </c>
      <c r="F385" s="4" t="s">
        <v>1196</v>
      </c>
      <c r="G385" s="9" t="s">
        <v>2379</v>
      </c>
      <c r="H385" s="3">
        <v>0</v>
      </c>
      <c r="I385" s="3" t="s">
        <v>50</v>
      </c>
      <c r="J385" s="4" t="s">
        <v>2011</v>
      </c>
      <c r="K385" s="4" t="s">
        <v>37</v>
      </c>
    </row>
    <row r="386" spans="1:11" ht="28.8" x14ac:dyDescent="0.3">
      <c r="A386" s="3" t="s">
        <v>2052</v>
      </c>
      <c r="B386" s="3" t="s">
        <v>773</v>
      </c>
      <c r="C386" s="3" t="s">
        <v>1938</v>
      </c>
      <c r="D386" s="3">
        <v>2025</v>
      </c>
      <c r="E386" s="9" t="s">
        <v>926</v>
      </c>
      <c r="F386" s="4" t="s">
        <v>924</v>
      </c>
      <c r="G386" s="9" t="s">
        <v>2334</v>
      </c>
      <c r="H386" s="3">
        <v>0</v>
      </c>
      <c r="I386" s="3" t="s">
        <v>22</v>
      </c>
      <c r="J386" s="4" t="s">
        <v>2011</v>
      </c>
      <c r="K386" s="4" t="s">
        <v>120</v>
      </c>
    </row>
    <row r="387" spans="1:11" ht="28.8" x14ac:dyDescent="0.3">
      <c r="A387" s="3" t="s">
        <v>2053</v>
      </c>
      <c r="B387" s="3" t="s">
        <v>773</v>
      </c>
      <c r="C387" s="3" t="s">
        <v>1938</v>
      </c>
      <c r="D387" s="3">
        <v>2026</v>
      </c>
      <c r="E387" s="9" t="s">
        <v>1012</v>
      </c>
      <c r="F387" s="4" t="s">
        <v>1010</v>
      </c>
      <c r="G387" s="9" t="s">
        <v>2348</v>
      </c>
      <c r="H387" s="3">
        <v>0</v>
      </c>
      <c r="I387" s="3" t="s">
        <v>50</v>
      </c>
      <c r="J387" s="4" t="s">
        <v>2011</v>
      </c>
      <c r="K387" s="4" t="s">
        <v>660</v>
      </c>
    </row>
    <row r="388" spans="1:11" ht="28.8" x14ac:dyDescent="0.3">
      <c r="A388" s="3" t="s">
        <v>2054</v>
      </c>
      <c r="B388" s="3" t="s">
        <v>773</v>
      </c>
      <c r="C388" s="3" t="s">
        <v>1938</v>
      </c>
      <c r="D388" s="3">
        <v>2025</v>
      </c>
      <c r="E388" s="9" t="s">
        <v>1066</v>
      </c>
      <c r="F388" s="4" t="s">
        <v>1064</v>
      </c>
      <c r="G388" s="9" t="s">
        <v>2357</v>
      </c>
      <c r="H388" s="3">
        <v>0</v>
      </c>
      <c r="I388" s="3" t="s">
        <v>50</v>
      </c>
      <c r="J388" s="4" t="s">
        <v>2011</v>
      </c>
      <c r="K388" s="4" t="s">
        <v>451</v>
      </c>
    </row>
    <row r="389" spans="1:11" ht="28.8" x14ac:dyDescent="0.3">
      <c r="A389" s="3" t="s">
        <v>2055</v>
      </c>
      <c r="B389" s="3" t="s">
        <v>773</v>
      </c>
      <c r="C389" s="3" t="s">
        <v>1938</v>
      </c>
      <c r="D389" s="3">
        <v>2025</v>
      </c>
      <c r="E389" s="9" t="s">
        <v>1054</v>
      </c>
      <c r="F389" s="4" t="s">
        <v>1052</v>
      </c>
      <c r="G389" s="9" t="s">
        <v>2355</v>
      </c>
      <c r="H389" s="3">
        <v>0</v>
      </c>
      <c r="I389" s="3" t="s">
        <v>50</v>
      </c>
      <c r="J389" s="4" t="s">
        <v>2011</v>
      </c>
      <c r="K389" s="4" t="s">
        <v>127</v>
      </c>
    </row>
    <row r="390" spans="1:11" ht="28.8" x14ac:dyDescent="0.3">
      <c r="A390" s="3" t="s">
        <v>2056</v>
      </c>
      <c r="B390" s="3" t="s">
        <v>773</v>
      </c>
      <c r="C390" s="3" t="s">
        <v>1938</v>
      </c>
      <c r="D390" s="3">
        <v>2025</v>
      </c>
      <c r="E390" s="9" t="s">
        <v>1030</v>
      </c>
      <c r="F390" s="4" t="s">
        <v>1028</v>
      </c>
      <c r="G390" s="9" t="s">
        <v>2351</v>
      </c>
      <c r="H390" s="3">
        <v>0</v>
      </c>
      <c r="I390" s="3" t="s">
        <v>22</v>
      </c>
      <c r="J390" s="4" t="s">
        <v>2011</v>
      </c>
      <c r="K390" s="4" t="s">
        <v>127</v>
      </c>
    </row>
    <row r="391" spans="1:11" ht="28.8" x14ac:dyDescent="0.3">
      <c r="A391" s="3" t="s">
        <v>2057</v>
      </c>
      <c r="B391" s="3" t="s">
        <v>773</v>
      </c>
      <c r="C391" s="3" t="s">
        <v>1938</v>
      </c>
      <c r="D391" s="3">
        <v>2025</v>
      </c>
      <c r="E391" s="9" t="s">
        <v>988</v>
      </c>
      <c r="F391" s="4" t="s">
        <v>986</v>
      </c>
      <c r="G391" s="9" t="s">
        <v>2344</v>
      </c>
      <c r="H391" s="3">
        <v>0</v>
      </c>
      <c r="I391" s="3" t="s">
        <v>50</v>
      </c>
      <c r="J391" s="4" t="s">
        <v>2011</v>
      </c>
      <c r="K391" s="4" t="s">
        <v>260</v>
      </c>
    </row>
    <row r="392" spans="1:11" ht="28.8" x14ac:dyDescent="0.3">
      <c r="A392" s="3" t="s">
        <v>2058</v>
      </c>
      <c r="B392" s="3" t="s">
        <v>773</v>
      </c>
      <c r="C392" s="3" t="s">
        <v>1938</v>
      </c>
      <c r="D392" s="3">
        <v>2026</v>
      </c>
      <c r="E392" s="9" t="s">
        <v>1138</v>
      </c>
      <c r="F392" s="4" t="s">
        <v>1136</v>
      </c>
      <c r="G392" s="9" t="s">
        <v>2369</v>
      </c>
      <c r="H392" s="3">
        <v>0</v>
      </c>
      <c r="I392" s="3" t="s">
        <v>50</v>
      </c>
      <c r="J392" s="4" t="s">
        <v>2011</v>
      </c>
      <c r="K392" s="4" t="s">
        <v>141</v>
      </c>
    </row>
    <row r="393" spans="1:11" ht="28.8" x14ac:dyDescent="0.3">
      <c r="A393" s="3" t="s">
        <v>2059</v>
      </c>
      <c r="B393" s="3" t="s">
        <v>773</v>
      </c>
      <c r="C393" s="3" t="s">
        <v>1938</v>
      </c>
      <c r="D393" s="3">
        <v>2025</v>
      </c>
      <c r="E393" s="9" t="s">
        <v>914</v>
      </c>
      <c r="F393" s="4" t="s">
        <v>912</v>
      </c>
      <c r="G393" s="9" t="s">
        <v>2332</v>
      </c>
      <c r="H393" s="3">
        <v>0</v>
      </c>
      <c r="I393" s="3" t="s">
        <v>22</v>
      </c>
      <c r="J393" s="4" t="s">
        <v>2011</v>
      </c>
      <c r="K393" s="4" t="s">
        <v>23</v>
      </c>
    </row>
    <row r="394" spans="1:11" ht="28.8" x14ac:dyDescent="0.3">
      <c r="A394" s="3" t="s">
        <v>2060</v>
      </c>
      <c r="B394" s="3" t="s">
        <v>773</v>
      </c>
      <c r="C394" s="3" t="s">
        <v>1938</v>
      </c>
      <c r="D394" s="3">
        <v>2025</v>
      </c>
      <c r="E394" s="9" t="s">
        <v>1018</v>
      </c>
      <c r="F394" s="4" t="s">
        <v>1016</v>
      </c>
      <c r="G394" s="9" t="s">
        <v>2349</v>
      </c>
      <c r="H394" s="3">
        <v>0</v>
      </c>
      <c r="I394" s="3" t="s">
        <v>50</v>
      </c>
      <c r="J394" s="4" t="s">
        <v>2011</v>
      </c>
      <c r="K394" s="4" t="s">
        <v>660</v>
      </c>
    </row>
    <row r="395" spans="1:11" ht="28.8" x14ac:dyDescent="0.3">
      <c r="A395" s="3" t="s">
        <v>2061</v>
      </c>
      <c r="B395" s="3" t="s">
        <v>773</v>
      </c>
      <c r="C395" s="3" t="s">
        <v>1938</v>
      </c>
      <c r="D395" s="3">
        <v>2025</v>
      </c>
      <c r="E395" s="9" t="s">
        <v>1120</v>
      </c>
      <c r="F395" s="4" t="s">
        <v>1118</v>
      </c>
      <c r="G395" s="9" t="s">
        <v>2366</v>
      </c>
      <c r="H395" s="3">
        <v>0</v>
      </c>
      <c r="I395" s="3" t="s">
        <v>50</v>
      </c>
      <c r="J395" s="4" t="s">
        <v>2011</v>
      </c>
      <c r="K395" s="4" t="s">
        <v>127</v>
      </c>
    </row>
    <row r="396" spans="1:11" ht="28.8" x14ac:dyDescent="0.3">
      <c r="A396" s="3" t="s">
        <v>2062</v>
      </c>
      <c r="B396" s="3" t="s">
        <v>773</v>
      </c>
      <c r="C396" s="3" t="s">
        <v>1938</v>
      </c>
      <c r="D396" s="3">
        <v>2025</v>
      </c>
      <c r="E396" s="9" t="s">
        <v>1168</v>
      </c>
      <c r="F396" s="4" t="s">
        <v>1166</v>
      </c>
      <c r="G396" s="9" t="s">
        <v>2374</v>
      </c>
      <c r="H396" s="3">
        <v>0</v>
      </c>
      <c r="I396" s="3" t="s">
        <v>50</v>
      </c>
      <c r="J396" s="4" t="s">
        <v>2011</v>
      </c>
      <c r="K396" s="4" t="s">
        <v>451</v>
      </c>
    </row>
    <row r="397" spans="1:11" ht="28.8" x14ac:dyDescent="0.3">
      <c r="A397" s="3" t="s">
        <v>2063</v>
      </c>
      <c r="B397" s="3" t="s">
        <v>773</v>
      </c>
      <c r="C397" s="3" t="s">
        <v>1938</v>
      </c>
      <c r="D397" s="3">
        <v>2025</v>
      </c>
      <c r="E397" s="9" t="s">
        <v>1006</v>
      </c>
      <c r="F397" s="4" t="s">
        <v>1004</v>
      </c>
      <c r="G397" s="9" t="s">
        <v>2347</v>
      </c>
      <c r="H397" s="3">
        <v>0</v>
      </c>
      <c r="I397" s="3" t="s">
        <v>50</v>
      </c>
      <c r="J397" s="4" t="s">
        <v>2011</v>
      </c>
      <c r="K397" s="4" t="s">
        <v>37</v>
      </c>
    </row>
    <row r="398" spans="1:11" x14ac:dyDescent="0.3">
      <c r="A398" s="3" t="s">
        <v>2064</v>
      </c>
      <c r="B398" s="3" t="s">
        <v>773</v>
      </c>
      <c r="C398" s="3" t="s">
        <v>1938</v>
      </c>
      <c r="D398" s="3">
        <v>2025</v>
      </c>
      <c r="E398" s="9" t="s">
        <v>1096</v>
      </c>
      <c r="F398" s="4" t="s">
        <v>1094</v>
      </c>
      <c r="G398" s="9" t="s">
        <v>2362</v>
      </c>
      <c r="H398" s="3">
        <v>0</v>
      </c>
      <c r="I398" s="3" t="s">
        <v>50</v>
      </c>
      <c r="J398" s="4" t="s">
        <v>2011</v>
      </c>
      <c r="K398" s="4" t="s">
        <v>286</v>
      </c>
    </row>
    <row r="399" spans="1:11" ht="43.2" x14ac:dyDescent="0.3">
      <c r="A399" s="3" t="s">
        <v>2065</v>
      </c>
      <c r="B399" s="3" t="s">
        <v>773</v>
      </c>
      <c r="C399" s="3" t="s">
        <v>1938</v>
      </c>
      <c r="D399" s="3">
        <v>2025</v>
      </c>
      <c r="E399" s="9" t="s">
        <v>1084</v>
      </c>
      <c r="F399" s="4" t="s">
        <v>1082</v>
      </c>
      <c r="G399" s="9" t="s">
        <v>2360</v>
      </c>
      <c r="H399" s="3">
        <v>0</v>
      </c>
      <c r="I399" s="3" t="s">
        <v>50</v>
      </c>
      <c r="J399" s="4" t="s">
        <v>2011</v>
      </c>
      <c r="K399" s="4" t="s">
        <v>127</v>
      </c>
    </row>
    <row r="400" spans="1:11" ht="43.2" x14ac:dyDescent="0.3">
      <c r="A400" s="3" t="s">
        <v>2066</v>
      </c>
      <c r="B400" s="3" t="s">
        <v>773</v>
      </c>
      <c r="C400" s="3" t="s">
        <v>1938</v>
      </c>
      <c r="D400" s="3">
        <v>2025</v>
      </c>
      <c r="E400" s="9" t="s">
        <v>982</v>
      </c>
      <c r="F400" s="4" t="s">
        <v>980</v>
      </c>
      <c r="G400" s="9" t="s">
        <v>2343</v>
      </c>
      <c r="H400" s="3">
        <v>0</v>
      </c>
      <c r="I400" s="3" t="s">
        <v>50</v>
      </c>
      <c r="J400" s="4" t="s">
        <v>2011</v>
      </c>
      <c r="K400" s="4" t="s">
        <v>37</v>
      </c>
    </row>
    <row r="401" spans="1:11" ht="28.8" x14ac:dyDescent="0.3">
      <c r="A401" s="3" t="s">
        <v>2067</v>
      </c>
      <c r="B401" s="3" t="s">
        <v>773</v>
      </c>
      <c r="C401" s="3" t="s">
        <v>1938</v>
      </c>
      <c r="D401" s="3">
        <v>2025</v>
      </c>
      <c r="E401" s="9" t="s">
        <v>1042</v>
      </c>
      <c r="F401" s="4" t="s">
        <v>1040</v>
      </c>
      <c r="G401" s="9" t="s">
        <v>2353</v>
      </c>
      <c r="H401" s="3">
        <v>0</v>
      </c>
      <c r="I401" s="3" t="s">
        <v>50</v>
      </c>
      <c r="J401" s="4" t="s">
        <v>2011</v>
      </c>
      <c r="K401" s="4" t="s">
        <v>451</v>
      </c>
    </row>
    <row r="402" spans="1:11" ht="28.8" x14ac:dyDescent="0.3">
      <c r="A402" s="3" t="s">
        <v>2068</v>
      </c>
      <c r="B402" s="3" t="s">
        <v>773</v>
      </c>
      <c r="C402" s="3" t="s">
        <v>1938</v>
      </c>
      <c r="D402" s="3">
        <v>2024</v>
      </c>
      <c r="E402" s="9" t="s">
        <v>1210</v>
      </c>
      <c r="F402" s="4" t="s">
        <v>1208</v>
      </c>
      <c r="G402" s="9" t="s">
        <v>2381</v>
      </c>
      <c r="H402" s="3">
        <v>0</v>
      </c>
      <c r="I402" s="3" t="s">
        <v>50</v>
      </c>
      <c r="J402" s="4" t="s">
        <v>2011</v>
      </c>
      <c r="K402" s="4" t="s">
        <v>451</v>
      </c>
    </row>
    <row r="403" spans="1:11" ht="28.8" x14ac:dyDescent="0.3">
      <c r="A403" s="3" t="s">
        <v>2069</v>
      </c>
      <c r="B403" s="3" t="s">
        <v>773</v>
      </c>
      <c r="C403" s="3" t="s">
        <v>1938</v>
      </c>
      <c r="D403" s="3">
        <v>2024</v>
      </c>
      <c r="E403" s="9" t="s">
        <v>1295</v>
      </c>
      <c r="F403" s="4" t="s">
        <v>1293</v>
      </c>
      <c r="G403" s="9" t="s">
        <v>2395</v>
      </c>
      <c r="H403" s="3">
        <v>0</v>
      </c>
      <c r="I403" s="3" t="s">
        <v>50</v>
      </c>
      <c r="J403" s="4" t="s">
        <v>2011</v>
      </c>
      <c r="K403" s="4" t="s">
        <v>660</v>
      </c>
    </row>
    <row r="404" spans="1:11" ht="28.8" x14ac:dyDescent="0.3">
      <c r="A404" s="3" t="s">
        <v>2070</v>
      </c>
      <c r="B404" s="3" t="s">
        <v>773</v>
      </c>
      <c r="C404" s="3" t="s">
        <v>1938</v>
      </c>
      <c r="D404" s="3">
        <v>2026</v>
      </c>
      <c r="E404" s="9" t="s">
        <v>1036</v>
      </c>
      <c r="F404" s="4" t="s">
        <v>1034</v>
      </c>
      <c r="G404" s="9" t="s">
        <v>2352</v>
      </c>
      <c r="H404" s="3">
        <v>0</v>
      </c>
      <c r="I404" s="3" t="s">
        <v>50</v>
      </c>
      <c r="J404" s="4" t="s">
        <v>2011</v>
      </c>
      <c r="K404" s="4" t="s">
        <v>66</v>
      </c>
    </row>
    <row r="405" spans="1:11" ht="28.8" x14ac:dyDescent="0.3">
      <c r="A405" s="3" t="s">
        <v>2071</v>
      </c>
      <c r="B405" s="3" t="s">
        <v>773</v>
      </c>
      <c r="C405" s="3" t="s">
        <v>1938</v>
      </c>
      <c r="D405" s="3">
        <v>2024</v>
      </c>
      <c r="E405" s="9" t="s">
        <v>1144</v>
      </c>
      <c r="F405" s="4" t="s">
        <v>1142</v>
      </c>
      <c r="G405" s="9" t="s">
        <v>2370</v>
      </c>
      <c r="H405" s="3">
        <v>0</v>
      </c>
      <c r="I405" s="3" t="s">
        <v>50</v>
      </c>
      <c r="J405" s="4" t="s">
        <v>2011</v>
      </c>
      <c r="K405" s="4" t="s">
        <v>260</v>
      </c>
    </row>
    <row r="406" spans="1:11" ht="43.2" x14ac:dyDescent="0.3">
      <c r="A406" s="3" t="s">
        <v>2072</v>
      </c>
      <c r="B406" s="3" t="s">
        <v>773</v>
      </c>
      <c r="C406" s="3" t="s">
        <v>1938</v>
      </c>
      <c r="D406" s="3">
        <v>2024</v>
      </c>
      <c r="E406" s="9" t="s">
        <v>1265</v>
      </c>
      <c r="F406" s="4" t="s">
        <v>1263</v>
      </c>
      <c r="G406" s="9" t="s">
        <v>2390</v>
      </c>
      <c r="H406" s="3">
        <v>0</v>
      </c>
      <c r="I406" s="3" t="s">
        <v>50</v>
      </c>
      <c r="J406" s="4" t="s">
        <v>2011</v>
      </c>
      <c r="K406" s="4" t="s">
        <v>451</v>
      </c>
    </row>
    <row r="407" spans="1:11" ht="28.8" x14ac:dyDescent="0.3">
      <c r="A407" s="3" t="s">
        <v>2073</v>
      </c>
      <c r="B407" s="3" t="s">
        <v>773</v>
      </c>
      <c r="C407" s="3" t="s">
        <v>1938</v>
      </c>
      <c r="D407" s="3">
        <v>2025</v>
      </c>
      <c r="E407" s="9" t="s">
        <v>1102</v>
      </c>
      <c r="F407" s="4" t="s">
        <v>1100</v>
      </c>
      <c r="G407" s="9" t="s">
        <v>2363</v>
      </c>
      <c r="H407" s="3">
        <v>0</v>
      </c>
      <c r="I407" s="3" t="s">
        <v>50</v>
      </c>
      <c r="J407" s="4" t="s">
        <v>2011</v>
      </c>
      <c r="K407" s="4" t="s">
        <v>647</v>
      </c>
    </row>
    <row r="408" spans="1:11" ht="43.2" x14ac:dyDescent="0.3">
      <c r="A408" s="3" t="s">
        <v>2074</v>
      </c>
      <c r="B408" s="3" t="s">
        <v>773</v>
      </c>
      <c r="C408" s="3" t="s">
        <v>1938</v>
      </c>
      <c r="D408" s="3">
        <v>2025</v>
      </c>
      <c r="E408" s="9" t="s">
        <v>1186</v>
      </c>
      <c r="F408" s="4" t="s">
        <v>1184</v>
      </c>
      <c r="G408" s="9" t="s">
        <v>2377</v>
      </c>
      <c r="H408" s="3">
        <v>0</v>
      </c>
      <c r="I408" s="3" t="s">
        <v>50</v>
      </c>
      <c r="J408" s="4" t="s">
        <v>2011</v>
      </c>
      <c r="K408" s="4" t="s">
        <v>451</v>
      </c>
    </row>
    <row r="409" spans="1:11" x14ac:dyDescent="0.3">
      <c r="A409" s="3" t="s">
        <v>2075</v>
      </c>
      <c r="B409" s="3" t="s">
        <v>773</v>
      </c>
      <c r="C409" s="3" t="s">
        <v>1938</v>
      </c>
      <c r="D409" s="3">
        <v>2025</v>
      </c>
      <c r="E409" s="9" t="s">
        <v>1156</v>
      </c>
      <c r="F409" s="4" t="s">
        <v>1154</v>
      </c>
      <c r="G409" s="9" t="s">
        <v>2372</v>
      </c>
      <c r="H409" s="3">
        <v>0</v>
      </c>
      <c r="I409" s="3" t="s">
        <v>50</v>
      </c>
      <c r="J409" s="4" t="s">
        <v>2011</v>
      </c>
      <c r="K409" s="4" t="s">
        <v>37</v>
      </c>
    </row>
    <row r="410" spans="1:11" ht="28.8" x14ac:dyDescent="0.3">
      <c r="A410" s="3" t="s">
        <v>2076</v>
      </c>
      <c r="B410" s="3" t="s">
        <v>773</v>
      </c>
      <c r="C410" s="3" t="s">
        <v>1938</v>
      </c>
      <c r="D410" s="3">
        <v>2023</v>
      </c>
      <c r="E410" s="9" t="s">
        <v>1271</v>
      </c>
      <c r="F410" s="4" t="s">
        <v>1269</v>
      </c>
      <c r="G410" s="9" t="s">
        <v>2391</v>
      </c>
      <c r="H410" s="3">
        <v>0</v>
      </c>
      <c r="I410" s="3" t="s">
        <v>50</v>
      </c>
      <c r="J410" s="4" t="s">
        <v>2011</v>
      </c>
      <c r="K410" s="4" t="s">
        <v>451</v>
      </c>
    </row>
    <row r="411" spans="1:11" ht="28.8" x14ac:dyDescent="0.3">
      <c r="A411" s="3" t="s">
        <v>2077</v>
      </c>
      <c r="B411" s="3" t="s">
        <v>773</v>
      </c>
      <c r="C411" s="3" t="s">
        <v>1938</v>
      </c>
      <c r="D411" s="3">
        <v>2026</v>
      </c>
      <c r="E411" s="9" t="s">
        <v>950</v>
      </c>
      <c r="F411" s="4" t="s">
        <v>948</v>
      </c>
      <c r="G411" s="9" t="s">
        <v>2338</v>
      </c>
      <c r="H411" s="3">
        <v>0</v>
      </c>
      <c r="I411" s="3" t="s">
        <v>50</v>
      </c>
      <c r="J411" s="4" t="s">
        <v>2011</v>
      </c>
      <c r="K411" s="4" t="s">
        <v>953</v>
      </c>
    </row>
    <row r="412" spans="1:11" ht="28.8" x14ac:dyDescent="0.3">
      <c r="A412" s="3" t="s">
        <v>2078</v>
      </c>
      <c r="B412" s="3" t="s">
        <v>773</v>
      </c>
      <c r="C412" s="3" t="s">
        <v>1938</v>
      </c>
      <c r="D412" s="3">
        <v>2025</v>
      </c>
      <c r="E412" s="9" t="s">
        <v>1234</v>
      </c>
      <c r="F412" s="4" t="s">
        <v>1232</v>
      </c>
      <c r="G412" s="9" t="s">
        <v>2385</v>
      </c>
      <c r="H412" s="3">
        <v>0</v>
      </c>
      <c r="I412" s="3" t="s">
        <v>50</v>
      </c>
      <c r="J412" s="4" t="s">
        <v>2011</v>
      </c>
      <c r="K412" s="4" t="s">
        <v>885</v>
      </c>
    </row>
    <row r="413" spans="1:11" ht="28.8" x14ac:dyDescent="0.3">
      <c r="A413" s="3" t="s">
        <v>2079</v>
      </c>
      <c r="B413" s="3" t="s">
        <v>773</v>
      </c>
      <c r="C413" s="3" t="s">
        <v>1938</v>
      </c>
      <c r="D413" s="3">
        <v>2024</v>
      </c>
      <c r="E413" s="9" t="s">
        <v>1228</v>
      </c>
      <c r="F413" s="4" t="s">
        <v>1226</v>
      </c>
      <c r="G413" s="9" t="s">
        <v>2384</v>
      </c>
      <c r="H413" s="3">
        <v>0</v>
      </c>
      <c r="I413" s="3" t="s">
        <v>50</v>
      </c>
      <c r="J413" s="4" t="s">
        <v>2011</v>
      </c>
      <c r="K413" s="4" t="s">
        <v>66</v>
      </c>
    </row>
    <row r="414" spans="1:11" ht="28.8" x14ac:dyDescent="0.3">
      <c r="A414" s="3" t="s">
        <v>2080</v>
      </c>
      <c r="B414" s="3" t="s">
        <v>773</v>
      </c>
      <c r="C414" s="3" t="s">
        <v>1938</v>
      </c>
      <c r="D414" s="3">
        <v>2026</v>
      </c>
      <c r="E414" s="9" t="s">
        <v>1246</v>
      </c>
      <c r="F414" s="4" t="s">
        <v>1244</v>
      </c>
      <c r="G414" s="9" t="s">
        <v>2387</v>
      </c>
      <c r="H414" s="3">
        <v>0</v>
      </c>
      <c r="I414" s="3" t="s">
        <v>50</v>
      </c>
      <c r="J414" s="4" t="s">
        <v>2011</v>
      </c>
      <c r="K414" s="4" t="s">
        <v>66</v>
      </c>
    </row>
    <row r="415" spans="1:11" ht="28.8" x14ac:dyDescent="0.3">
      <c r="A415" s="3" t="s">
        <v>2081</v>
      </c>
      <c r="B415" s="3" t="s">
        <v>773</v>
      </c>
      <c r="C415" s="3" t="s">
        <v>1938</v>
      </c>
      <c r="D415" s="3">
        <v>2024</v>
      </c>
      <c r="E415" s="9" t="s">
        <v>1319</v>
      </c>
      <c r="F415" s="4" t="s">
        <v>1317</v>
      </c>
      <c r="G415" s="9" t="s">
        <v>2399</v>
      </c>
      <c r="H415" s="3">
        <v>0</v>
      </c>
      <c r="I415" s="3" t="s">
        <v>50</v>
      </c>
      <c r="J415" s="4" t="s">
        <v>2011</v>
      </c>
      <c r="K415" s="4" t="s">
        <v>127</v>
      </c>
    </row>
    <row r="416" spans="1:11" ht="28.8" x14ac:dyDescent="0.3">
      <c r="A416" s="3" t="s">
        <v>2082</v>
      </c>
      <c r="B416" s="3" t="s">
        <v>773</v>
      </c>
      <c r="C416" s="3" t="s">
        <v>1938</v>
      </c>
      <c r="D416" s="3">
        <v>2021</v>
      </c>
      <c r="E416" s="9" t="s">
        <v>1335</v>
      </c>
      <c r="F416" s="4" t="s">
        <v>1333</v>
      </c>
      <c r="G416" s="9" t="s">
        <v>2402</v>
      </c>
      <c r="H416" s="3">
        <v>0</v>
      </c>
      <c r="I416" s="3" t="s">
        <v>50</v>
      </c>
      <c r="J416" s="4" t="s">
        <v>2011</v>
      </c>
      <c r="K416" s="4" t="s">
        <v>616</v>
      </c>
    </row>
    <row r="417" spans="1:11" ht="28.8" x14ac:dyDescent="0.3">
      <c r="A417" s="3" t="s">
        <v>2083</v>
      </c>
      <c r="B417" s="3" t="s">
        <v>773</v>
      </c>
      <c r="C417" s="3" t="s">
        <v>1938</v>
      </c>
      <c r="D417" s="3">
        <v>2025</v>
      </c>
      <c r="E417" s="9" t="s">
        <v>1396</v>
      </c>
      <c r="F417" s="4" t="s">
        <v>1394</v>
      </c>
      <c r="G417" s="9" t="s">
        <v>2412</v>
      </c>
      <c r="H417" s="3">
        <v>0</v>
      </c>
      <c r="I417" s="3" t="s">
        <v>50</v>
      </c>
      <c r="J417" s="4" t="s">
        <v>2011</v>
      </c>
      <c r="K417" s="4" t="s">
        <v>451</v>
      </c>
    </row>
    <row r="418" spans="1:11" ht="43.2" x14ac:dyDescent="0.3">
      <c r="A418" s="3" t="s">
        <v>2084</v>
      </c>
      <c r="B418" s="3" t="s">
        <v>773</v>
      </c>
      <c r="C418" s="3" t="s">
        <v>1938</v>
      </c>
      <c r="D418" s="3">
        <v>2024</v>
      </c>
      <c r="E418" s="9" t="s">
        <v>1222</v>
      </c>
      <c r="F418" s="4" t="s">
        <v>1220</v>
      </c>
      <c r="G418" s="9" t="s">
        <v>2383</v>
      </c>
      <c r="H418" s="3">
        <v>0</v>
      </c>
      <c r="I418" s="3" t="s">
        <v>50</v>
      </c>
      <c r="J418" s="4" t="s">
        <v>2011</v>
      </c>
      <c r="K418" s="4" t="s">
        <v>260</v>
      </c>
    </row>
    <row r="419" spans="1:11" x14ac:dyDescent="0.3">
      <c r="A419" s="3" t="s">
        <v>2085</v>
      </c>
      <c r="B419" s="3" t="s">
        <v>773</v>
      </c>
      <c r="C419" s="3" t="s">
        <v>1938</v>
      </c>
      <c r="D419" s="3">
        <v>2014</v>
      </c>
      <c r="E419" s="9" t="s">
        <v>207</v>
      </c>
      <c r="F419" s="4" t="s">
        <v>1329</v>
      </c>
      <c r="G419" s="9" t="s">
        <v>2401</v>
      </c>
      <c r="H419" s="3">
        <v>0</v>
      </c>
      <c r="I419" s="3" t="s">
        <v>50</v>
      </c>
      <c r="J419" s="4" t="s">
        <v>2011</v>
      </c>
      <c r="K419" s="4" t="s">
        <v>451</v>
      </c>
    </row>
    <row r="420" spans="1:11" ht="28.8" x14ac:dyDescent="0.3">
      <c r="A420" s="3" t="s">
        <v>2086</v>
      </c>
      <c r="B420" s="3" t="s">
        <v>773</v>
      </c>
      <c r="C420" s="3" t="s">
        <v>1938</v>
      </c>
      <c r="D420" s="3">
        <v>1993</v>
      </c>
      <c r="E420" s="9" t="s">
        <v>1487</v>
      </c>
      <c r="F420" s="4" t="s">
        <v>1485</v>
      </c>
      <c r="G420" s="9" t="s">
        <v>2428</v>
      </c>
      <c r="H420" s="3">
        <v>0</v>
      </c>
      <c r="I420" s="3" t="s">
        <v>50</v>
      </c>
      <c r="J420" s="4" t="s">
        <v>2011</v>
      </c>
      <c r="K420" s="4" t="s">
        <v>451</v>
      </c>
    </row>
    <row r="421" spans="1:11" ht="28.8" x14ac:dyDescent="0.3">
      <c r="A421" s="3" t="s">
        <v>2087</v>
      </c>
      <c r="B421" s="3" t="s">
        <v>773</v>
      </c>
      <c r="C421" s="3" t="s">
        <v>1938</v>
      </c>
      <c r="D421" s="3">
        <v>2022</v>
      </c>
      <c r="E421" s="9" t="s">
        <v>207</v>
      </c>
      <c r="F421" s="4" t="s">
        <v>1430</v>
      </c>
      <c r="G421" s="9" t="s">
        <v>2418</v>
      </c>
      <c r="H421" s="3">
        <v>0</v>
      </c>
      <c r="I421" s="3" t="s">
        <v>50</v>
      </c>
      <c r="J421" s="4" t="s">
        <v>2011</v>
      </c>
      <c r="K421" s="4" t="s">
        <v>1344</v>
      </c>
    </row>
    <row r="422" spans="1:11" ht="28.8" x14ac:dyDescent="0.3">
      <c r="A422" s="3" t="s">
        <v>2090</v>
      </c>
      <c r="B422" s="3" t="s">
        <v>1494</v>
      </c>
      <c r="C422" s="3" t="s">
        <v>1938</v>
      </c>
      <c r="D422" s="3">
        <v>2025</v>
      </c>
      <c r="E422" s="9" t="s">
        <v>2093</v>
      </c>
      <c r="F422" s="4" t="s">
        <v>2091</v>
      </c>
      <c r="G422" s="9" t="s">
        <v>2501</v>
      </c>
      <c r="H422" s="3">
        <v>1</v>
      </c>
      <c r="I422" s="3" t="s">
        <v>22</v>
      </c>
      <c r="J422" s="4" t="s">
        <v>2088</v>
      </c>
      <c r="K422" s="4" t="s">
        <v>127</v>
      </c>
    </row>
    <row r="423" spans="1:11" ht="28.8" x14ac:dyDescent="0.3">
      <c r="A423" s="3" t="s">
        <v>2096</v>
      </c>
      <c r="B423" s="3" t="s">
        <v>1494</v>
      </c>
      <c r="C423" s="3" t="s">
        <v>1938</v>
      </c>
      <c r="D423" s="3">
        <v>2025</v>
      </c>
      <c r="E423" s="9" t="s">
        <v>2099</v>
      </c>
      <c r="F423" s="4" t="s">
        <v>2097</v>
      </c>
      <c r="G423" s="9" t="s">
        <v>2502</v>
      </c>
      <c r="H423" s="3">
        <v>1</v>
      </c>
      <c r="I423" s="3" t="s">
        <v>22</v>
      </c>
      <c r="J423" s="4" t="s">
        <v>2088</v>
      </c>
      <c r="K423" s="4" t="s">
        <v>2102</v>
      </c>
    </row>
    <row r="424" spans="1:11" ht="28.8" x14ac:dyDescent="0.3">
      <c r="A424" s="3" t="s">
        <v>2103</v>
      </c>
      <c r="B424" s="3" t="s">
        <v>1494</v>
      </c>
      <c r="C424" s="3" t="s">
        <v>1938</v>
      </c>
      <c r="D424" s="3">
        <v>2025</v>
      </c>
      <c r="E424" s="9" t="s">
        <v>1786</v>
      </c>
      <c r="F424" s="4" t="s">
        <v>1784</v>
      </c>
      <c r="G424" s="9" t="s">
        <v>2470</v>
      </c>
      <c r="H424" s="3">
        <v>0</v>
      </c>
      <c r="I424" s="3" t="s">
        <v>22</v>
      </c>
      <c r="J424" s="4" t="s">
        <v>2088</v>
      </c>
      <c r="K424" s="4" t="s">
        <v>127</v>
      </c>
    </row>
    <row r="425" spans="1:11" ht="28.8" x14ac:dyDescent="0.3">
      <c r="A425" s="3" t="s">
        <v>2104</v>
      </c>
      <c r="B425" s="3" t="s">
        <v>1494</v>
      </c>
      <c r="C425" s="3" t="s">
        <v>1938</v>
      </c>
      <c r="D425" s="3">
        <v>2025</v>
      </c>
      <c r="E425" s="9" t="s">
        <v>2107</v>
      </c>
      <c r="F425" s="4" t="s">
        <v>2105</v>
      </c>
      <c r="G425" s="9" t="s">
        <v>2503</v>
      </c>
      <c r="H425" s="3">
        <v>1</v>
      </c>
      <c r="I425" s="3" t="s">
        <v>22</v>
      </c>
      <c r="J425" s="4" t="s">
        <v>2088</v>
      </c>
      <c r="K425" s="4" t="s">
        <v>210</v>
      </c>
    </row>
    <row r="426" spans="1:11" x14ac:dyDescent="0.3">
      <c r="A426" s="3" t="s">
        <v>2110</v>
      </c>
      <c r="B426" s="3" t="s">
        <v>1494</v>
      </c>
      <c r="C426" s="3" t="s">
        <v>1938</v>
      </c>
      <c r="D426" s="3">
        <v>2025</v>
      </c>
      <c r="E426" s="9" t="s">
        <v>2113</v>
      </c>
      <c r="F426" s="4" t="s">
        <v>2111</v>
      </c>
      <c r="G426" s="9" t="s">
        <v>2504</v>
      </c>
      <c r="H426" s="3">
        <v>1</v>
      </c>
      <c r="I426" s="3" t="s">
        <v>22</v>
      </c>
      <c r="J426" s="4" t="s">
        <v>2088</v>
      </c>
      <c r="K426" s="4" t="s">
        <v>37</v>
      </c>
    </row>
    <row r="427" spans="1:11" ht="28.8" x14ac:dyDescent="0.3">
      <c r="A427" s="3" t="s">
        <v>2116</v>
      </c>
      <c r="B427" s="3" t="s">
        <v>1494</v>
      </c>
      <c r="C427" s="3" t="s">
        <v>1938</v>
      </c>
      <c r="D427" s="3">
        <v>2025</v>
      </c>
      <c r="E427" s="9" t="s">
        <v>1692</v>
      </c>
      <c r="F427" s="4" t="s">
        <v>1690</v>
      </c>
      <c r="G427" s="9" t="s">
        <v>2455</v>
      </c>
      <c r="H427" s="3">
        <v>0</v>
      </c>
      <c r="I427" s="3" t="s">
        <v>22</v>
      </c>
      <c r="J427" s="4" t="s">
        <v>2088</v>
      </c>
      <c r="K427" s="4" t="s">
        <v>80</v>
      </c>
    </row>
    <row r="428" spans="1:11" ht="28.8" x14ac:dyDescent="0.3">
      <c r="A428" s="3" t="s">
        <v>2117</v>
      </c>
      <c r="B428" s="3" t="s">
        <v>1494</v>
      </c>
      <c r="C428" s="3" t="s">
        <v>1938</v>
      </c>
      <c r="D428" s="3">
        <v>2026</v>
      </c>
      <c r="E428" s="9" t="s">
        <v>2120</v>
      </c>
      <c r="F428" s="4" t="s">
        <v>2118</v>
      </c>
      <c r="G428" s="9" t="s">
        <v>2505</v>
      </c>
      <c r="H428" s="3">
        <v>1</v>
      </c>
      <c r="I428" s="3" t="s">
        <v>22</v>
      </c>
      <c r="J428" s="4" t="s">
        <v>2088</v>
      </c>
      <c r="K428" s="4" t="s">
        <v>134</v>
      </c>
    </row>
    <row r="429" spans="1:11" ht="28.8" x14ac:dyDescent="0.3">
      <c r="A429" s="3" t="s">
        <v>2123</v>
      </c>
      <c r="B429" s="3" t="s">
        <v>1494</v>
      </c>
      <c r="C429" s="3" t="s">
        <v>1938</v>
      </c>
      <c r="D429" s="3">
        <v>2025</v>
      </c>
      <c r="E429" s="9" t="s">
        <v>2125</v>
      </c>
      <c r="F429" s="4" t="s">
        <v>1975</v>
      </c>
      <c r="G429" s="9" t="s">
        <v>2506</v>
      </c>
      <c r="H429" s="3">
        <v>1</v>
      </c>
      <c r="I429" s="3" t="s">
        <v>22</v>
      </c>
      <c r="J429" s="4" t="s">
        <v>2088</v>
      </c>
      <c r="K429" s="4" t="s">
        <v>66</v>
      </c>
    </row>
    <row r="430" spans="1:11" ht="28.8" x14ac:dyDescent="0.3">
      <c r="A430" s="3" t="s">
        <v>2127</v>
      </c>
      <c r="B430" s="3" t="s">
        <v>1494</v>
      </c>
      <c r="C430" s="3" t="s">
        <v>1938</v>
      </c>
      <c r="D430" s="3">
        <v>2025</v>
      </c>
      <c r="E430" s="9" t="s">
        <v>2000</v>
      </c>
      <c r="F430" s="4" t="s">
        <v>1998</v>
      </c>
      <c r="G430" s="9" t="s">
        <v>2499</v>
      </c>
      <c r="H430" s="3">
        <v>0</v>
      </c>
      <c r="I430" s="3" t="s">
        <v>22</v>
      </c>
      <c r="J430" s="4" t="s">
        <v>2088</v>
      </c>
      <c r="K430" s="4" t="s">
        <v>37</v>
      </c>
    </row>
    <row r="431" spans="1:11" ht="28.8" x14ac:dyDescent="0.3">
      <c r="A431" s="3" t="s">
        <v>2130</v>
      </c>
      <c r="B431" s="3" t="s">
        <v>1494</v>
      </c>
      <c r="C431" s="3" t="s">
        <v>1938</v>
      </c>
      <c r="D431" s="3">
        <v>2025</v>
      </c>
      <c r="E431" s="9" t="s">
        <v>2133</v>
      </c>
      <c r="F431" s="4" t="s">
        <v>2131</v>
      </c>
      <c r="G431" s="9" t="s">
        <v>2507</v>
      </c>
      <c r="H431" s="3">
        <v>1</v>
      </c>
      <c r="I431" s="3" t="s">
        <v>22</v>
      </c>
      <c r="J431" s="4" t="s">
        <v>2088</v>
      </c>
      <c r="K431" s="4" t="s">
        <v>127</v>
      </c>
    </row>
    <row r="432" spans="1:11" ht="28.8" x14ac:dyDescent="0.3">
      <c r="A432" s="3" t="s">
        <v>2136</v>
      </c>
      <c r="B432" s="3" t="s">
        <v>1494</v>
      </c>
      <c r="C432" s="3" t="s">
        <v>1938</v>
      </c>
      <c r="D432" s="3">
        <v>2025</v>
      </c>
      <c r="E432" s="9" t="s">
        <v>2139</v>
      </c>
      <c r="F432" s="4" t="s">
        <v>2137</v>
      </c>
      <c r="G432" s="9" t="s">
        <v>2508</v>
      </c>
      <c r="H432" s="3">
        <v>1</v>
      </c>
      <c r="I432" s="3" t="s">
        <v>22</v>
      </c>
      <c r="J432" s="4" t="s">
        <v>2088</v>
      </c>
      <c r="K432" s="4" t="s">
        <v>37</v>
      </c>
    </row>
    <row r="433" spans="1:11" ht="43.2" x14ac:dyDescent="0.3">
      <c r="A433" s="3" t="s">
        <v>2142</v>
      </c>
      <c r="B433" s="3" t="s">
        <v>1494</v>
      </c>
      <c r="C433" s="3" t="s">
        <v>1938</v>
      </c>
      <c r="D433" s="3">
        <v>2024</v>
      </c>
      <c r="E433" s="9" t="s">
        <v>283</v>
      </c>
      <c r="F433" s="4" t="s">
        <v>281</v>
      </c>
      <c r="G433" s="9" t="s">
        <v>2229</v>
      </c>
      <c r="H433" s="3">
        <v>0</v>
      </c>
      <c r="I433" s="3" t="s">
        <v>22</v>
      </c>
      <c r="J433" s="4" t="s">
        <v>2088</v>
      </c>
      <c r="K433" s="4" t="s">
        <v>286</v>
      </c>
    </row>
    <row r="434" spans="1:11" ht="28.8" x14ac:dyDescent="0.3">
      <c r="A434" s="3" t="s">
        <v>2146</v>
      </c>
      <c r="B434" s="3" t="s">
        <v>1494</v>
      </c>
      <c r="C434" s="3" t="s">
        <v>1938</v>
      </c>
      <c r="D434" s="3">
        <v>2025</v>
      </c>
      <c r="E434" s="9" t="s">
        <v>2149</v>
      </c>
      <c r="F434" s="4" t="s">
        <v>2147</v>
      </c>
      <c r="G434" s="9" t="s">
        <v>2509</v>
      </c>
      <c r="H434" s="3">
        <v>1</v>
      </c>
      <c r="I434" s="3" t="s">
        <v>22</v>
      </c>
      <c r="J434" s="4" t="s">
        <v>2088</v>
      </c>
      <c r="K434" s="4" t="s">
        <v>127</v>
      </c>
    </row>
    <row r="435" spans="1:11" ht="43.2" x14ac:dyDescent="0.3">
      <c r="A435" s="3" t="s">
        <v>2152</v>
      </c>
      <c r="B435" s="3" t="s">
        <v>1494</v>
      </c>
      <c r="C435" s="3" t="s">
        <v>1938</v>
      </c>
      <c r="D435" s="3">
        <v>2025</v>
      </c>
      <c r="E435" s="9" t="s">
        <v>2155</v>
      </c>
      <c r="F435" s="4" t="s">
        <v>2153</v>
      </c>
      <c r="G435" s="9" t="s">
        <v>2510</v>
      </c>
      <c r="H435" s="3">
        <v>1</v>
      </c>
      <c r="I435" s="3" t="s">
        <v>50</v>
      </c>
      <c r="J435" s="4" t="s">
        <v>2088</v>
      </c>
      <c r="K435" s="4" t="s">
        <v>451</v>
      </c>
    </row>
    <row r="436" spans="1:11" ht="28.8" x14ac:dyDescent="0.3">
      <c r="A436" s="3" t="s">
        <v>2158</v>
      </c>
      <c r="B436" s="3" t="s">
        <v>1494</v>
      </c>
      <c r="C436" s="3" t="s">
        <v>1938</v>
      </c>
      <c r="D436" s="3">
        <v>2025</v>
      </c>
      <c r="E436" s="9" t="s">
        <v>1965</v>
      </c>
      <c r="F436" s="4" t="s">
        <v>1963</v>
      </c>
      <c r="G436" s="9" t="s">
        <v>2494</v>
      </c>
      <c r="H436" s="3">
        <v>0</v>
      </c>
      <c r="I436" s="3" t="s">
        <v>22</v>
      </c>
      <c r="J436" s="4" t="s">
        <v>2088</v>
      </c>
      <c r="K436" s="4" t="s">
        <v>37</v>
      </c>
    </row>
    <row r="437" spans="1:11" ht="28.8" x14ac:dyDescent="0.3">
      <c r="A437" s="3" t="s">
        <v>2162</v>
      </c>
      <c r="B437" s="3" t="s">
        <v>1494</v>
      </c>
      <c r="C437" s="3" t="s">
        <v>1938</v>
      </c>
      <c r="D437" s="3">
        <v>2025</v>
      </c>
      <c r="E437" s="9" t="s">
        <v>2165</v>
      </c>
      <c r="F437" s="4" t="s">
        <v>2163</v>
      </c>
      <c r="G437" s="9" t="s">
        <v>2511</v>
      </c>
      <c r="H437" s="3">
        <v>1</v>
      </c>
      <c r="I437" s="3" t="s">
        <v>22</v>
      </c>
      <c r="J437" s="4" t="s">
        <v>2088</v>
      </c>
      <c r="K437" s="4" t="s">
        <v>286</v>
      </c>
    </row>
    <row r="438" spans="1:11" ht="28.8" x14ac:dyDescent="0.3">
      <c r="A438" s="3" t="s">
        <v>2168</v>
      </c>
      <c r="B438" s="3" t="s">
        <v>1494</v>
      </c>
      <c r="C438" s="3" t="s">
        <v>1938</v>
      </c>
      <c r="D438" s="3">
        <v>2026</v>
      </c>
      <c r="E438" s="9" t="s">
        <v>1829</v>
      </c>
      <c r="F438" s="4" t="s">
        <v>1827</v>
      </c>
      <c r="G438" s="9" t="s">
        <v>2475</v>
      </c>
      <c r="H438" s="3">
        <v>0</v>
      </c>
      <c r="I438" s="3" t="s">
        <v>22</v>
      </c>
      <c r="J438" s="4" t="s">
        <v>2088</v>
      </c>
      <c r="K438" s="4" t="s">
        <v>1344</v>
      </c>
    </row>
    <row r="439" spans="1:11" ht="28.8" x14ac:dyDescent="0.3">
      <c r="A439" s="3" t="s">
        <v>2169</v>
      </c>
      <c r="B439" s="3" t="s">
        <v>1494</v>
      </c>
      <c r="C439" s="3" t="s">
        <v>1938</v>
      </c>
      <c r="D439" s="3">
        <v>2026</v>
      </c>
      <c r="E439" s="9" t="s">
        <v>2172</v>
      </c>
      <c r="F439" s="4" t="s">
        <v>2170</v>
      </c>
      <c r="G439" s="9" t="s">
        <v>2512</v>
      </c>
      <c r="H439" s="3">
        <v>1</v>
      </c>
      <c r="I439" s="3" t="s">
        <v>22</v>
      </c>
      <c r="J439" s="4" t="s">
        <v>2088</v>
      </c>
      <c r="K439" s="4" t="s">
        <v>127</v>
      </c>
    </row>
    <row r="440" spans="1:11" ht="43.2" x14ac:dyDescent="0.3">
      <c r="A440" s="3" t="s">
        <v>2175</v>
      </c>
      <c r="B440" s="3" t="s">
        <v>1494</v>
      </c>
      <c r="C440" s="3" t="s">
        <v>1938</v>
      </c>
      <c r="D440" s="3">
        <v>2011</v>
      </c>
      <c r="E440" s="9" t="s">
        <v>207</v>
      </c>
      <c r="F440" s="4" t="s">
        <v>2176</v>
      </c>
      <c r="G440" s="9" t="s">
        <v>2513</v>
      </c>
      <c r="H440" s="3">
        <v>1</v>
      </c>
      <c r="I440" s="3" t="s">
        <v>50</v>
      </c>
      <c r="J440" s="4" t="s">
        <v>2088</v>
      </c>
      <c r="K440" s="4" t="s">
        <v>451</v>
      </c>
    </row>
  </sheetData>
  <mergeCells count="2">
    <mergeCell ref="A2:K2"/>
    <mergeCell ref="A1:K1"/>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workbookViewId="0">
      <selection sqref="A1:D1"/>
    </sheetView>
  </sheetViews>
  <sheetFormatPr defaultRowHeight="14.4" x14ac:dyDescent="0.3"/>
  <cols>
    <col min="1" max="1" width="34" customWidth="1"/>
    <col min="2" max="2" width="15" customWidth="1"/>
    <col min="3" max="3" width="42" customWidth="1"/>
    <col min="4" max="4" width="22" customWidth="1"/>
  </cols>
  <sheetData>
    <row r="1" spans="1:4" ht="19.2" customHeight="1" x14ac:dyDescent="0.3">
      <c r="A1" s="31" t="s">
        <v>2514</v>
      </c>
      <c r="B1" s="30"/>
      <c r="C1" s="30"/>
      <c r="D1" s="30"/>
    </row>
    <row r="2" spans="1:4" ht="28.8" customHeight="1" x14ac:dyDescent="0.3">
      <c r="A2" s="29" t="s">
        <v>2515</v>
      </c>
      <c r="B2" s="30"/>
      <c r="C2" s="30"/>
      <c r="D2" s="30"/>
    </row>
    <row r="4" spans="1:4" ht="28.8" x14ac:dyDescent="0.3">
      <c r="A4" s="2" t="s">
        <v>2182</v>
      </c>
      <c r="B4" s="2" t="s">
        <v>2516</v>
      </c>
      <c r="C4" s="2" t="s">
        <v>2517</v>
      </c>
      <c r="D4" s="2" t="s">
        <v>2518</v>
      </c>
    </row>
    <row r="5" spans="1:4" x14ac:dyDescent="0.3">
      <c r="A5" s="9" t="s">
        <v>17</v>
      </c>
      <c r="B5" s="10">
        <f>COUNTIFS(Base_Unificada_Apoio!$B$5:$B$440,$A5,Base_Unificada_Apoio!$C$5:$C$440,"Primário")</f>
        <v>120</v>
      </c>
      <c r="C5" s="10">
        <f>COUNTIFS(Base_Unificada_Apoio!$B$5:$B$440,$A5,Base_Unificada_Apoio!$C$5:$C$440,"Secundário")</f>
        <v>17</v>
      </c>
      <c r="D5" s="10">
        <f>SUM(B5:C5)</f>
        <v>137</v>
      </c>
    </row>
    <row r="6" spans="1:4" x14ac:dyDescent="0.3">
      <c r="A6" s="9" t="s">
        <v>773</v>
      </c>
      <c r="B6" s="10">
        <f>COUNTIFS(Base_Unificada_Apoio!$B$5:$B$440,$A6,Base_Unificada_Apoio!$C$5:$C$440,"Primário")</f>
        <v>120</v>
      </c>
      <c r="C6" s="10">
        <f>COUNTIFS(Base_Unificada_Apoio!$B$5:$B$440,$A6,Base_Unificada_Apoio!$C$5:$C$440,"Secundário")</f>
        <v>75</v>
      </c>
      <c r="D6" s="10">
        <f>SUM(B6:C6)</f>
        <v>195</v>
      </c>
    </row>
    <row r="7" spans="1:4" x14ac:dyDescent="0.3">
      <c r="A7" s="9" t="s">
        <v>1494</v>
      </c>
      <c r="B7" s="10">
        <f>COUNTIFS(Base_Unificada_Apoio!$B$5:$B$440,$A7,Base_Unificada_Apoio!$C$5:$C$440,"Primário")</f>
        <v>85</v>
      </c>
      <c r="C7" s="10">
        <f>COUNTIFS(Base_Unificada_Apoio!$B$5:$B$440,$A7,Base_Unificada_Apoio!$C$5:$C$440,"Secundário")</f>
        <v>19</v>
      </c>
      <c r="D7" s="10">
        <f>SUM(B7:C7)</f>
        <v>104</v>
      </c>
    </row>
    <row r="8" spans="1:4" x14ac:dyDescent="0.3">
      <c r="A8" s="11" t="s">
        <v>2519</v>
      </c>
      <c r="B8" s="11">
        <f>SUM(B5:B7)</f>
        <v>325</v>
      </c>
      <c r="C8" s="11">
        <f>SUM(C5:C7)</f>
        <v>111</v>
      </c>
      <c r="D8" s="11">
        <f>SUM(D5:D7)</f>
        <v>436</v>
      </c>
    </row>
    <row r="10" spans="1:4" x14ac:dyDescent="0.3">
      <c r="A10" s="34" t="s">
        <v>2520</v>
      </c>
      <c r="B10" s="30"/>
      <c r="C10" s="30"/>
      <c r="D10" s="30"/>
    </row>
    <row r="11" spans="1:4" x14ac:dyDescent="0.3">
      <c r="A11" s="2" t="s">
        <v>2521</v>
      </c>
      <c r="B11" s="2" t="s">
        <v>2522</v>
      </c>
      <c r="C11" s="2" t="s">
        <v>2523</v>
      </c>
      <c r="D11" s="2"/>
    </row>
    <row r="12" spans="1:4" x14ac:dyDescent="0.3">
      <c r="A12" s="4" t="s">
        <v>2524</v>
      </c>
      <c r="B12" s="10">
        <f>COUNTA(Base_Unificada_Apoio!$A$5:$A$440)</f>
        <v>436</v>
      </c>
      <c r="C12" s="32" t="s">
        <v>2525</v>
      </c>
      <c r="D12" s="33"/>
    </row>
    <row r="13" spans="1:4" x14ac:dyDescent="0.3">
      <c r="A13" s="4" t="s">
        <v>2526</v>
      </c>
      <c r="B13" s="10">
        <f>SUM(Base_Unificada_Apoio!$H$5:$H$440)</f>
        <v>325</v>
      </c>
      <c r="C13" s="32" t="s">
        <v>2527</v>
      </c>
      <c r="D13" s="33"/>
    </row>
    <row r="14" spans="1:4" ht="28.8" x14ac:dyDescent="0.3">
      <c r="A14" s="4" t="s">
        <v>2528</v>
      </c>
      <c r="B14" s="10">
        <f>COUNTIFS(Base_Unificada_Apoio!$H$5:$H$440,1,Base_Unificada_Apoio!$I$5:$I$440,"Sim")</f>
        <v>166</v>
      </c>
      <c r="C14" s="32" t="s">
        <v>2529</v>
      </c>
      <c r="D14" s="33"/>
    </row>
    <row r="15" spans="1:4" x14ac:dyDescent="0.3">
      <c r="A15" s="4" t="s">
        <v>2530</v>
      </c>
      <c r="B15" s="10">
        <f>B14</f>
        <v>166</v>
      </c>
      <c r="C15" s="32" t="s">
        <v>2531</v>
      </c>
      <c r="D15" s="33"/>
    </row>
  </sheetData>
  <mergeCells count="7">
    <mergeCell ref="A1:D1"/>
    <mergeCell ref="C12:D12"/>
    <mergeCell ref="C15:D15"/>
    <mergeCell ref="C14:D14"/>
    <mergeCell ref="C13:D13"/>
    <mergeCell ref="A2:D2"/>
    <mergeCell ref="A10:D10"/>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7"/>
  <sheetViews>
    <sheetView topLeftCell="A9" workbookViewId="0">
      <selection sqref="A1:H1"/>
    </sheetView>
  </sheetViews>
  <sheetFormatPr defaultRowHeight="14.4" x14ac:dyDescent="0.3"/>
  <cols>
    <col min="1" max="1" width="22" customWidth="1"/>
    <col min="2" max="3" width="12" customWidth="1"/>
    <col min="4" max="4" width="10" customWidth="1"/>
    <col min="5" max="5" width="12" customWidth="1"/>
    <col min="6" max="6" width="3" customWidth="1"/>
    <col min="7" max="8" width="12" customWidth="1"/>
  </cols>
  <sheetData>
    <row r="1" spans="1:8" ht="19.2" customHeight="1" x14ac:dyDescent="0.3">
      <c r="A1" s="31" t="s">
        <v>2532</v>
      </c>
      <c r="B1" s="30"/>
      <c r="C1" s="30"/>
      <c r="D1" s="30"/>
      <c r="E1" s="30"/>
      <c r="F1" s="30"/>
      <c r="G1" s="30"/>
      <c r="H1" s="30"/>
    </row>
    <row r="2" spans="1:8" ht="28.8" customHeight="1" x14ac:dyDescent="0.3">
      <c r="A2" s="29" t="s">
        <v>2533</v>
      </c>
      <c r="B2" s="30"/>
      <c r="C2" s="30"/>
      <c r="D2" s="30"/>
      <c r="E2" s="30"/>
      <c r="F2" s="30"/>
      <c r="G2" s="30"/>
      <c r="H2" s="30"/>
    </row>
    <row r="4" spans="1:8" x14ac:dyDescent="0.3">
      <c r="A4" s="34" t="s">
        <v>2534</v>
      </c>
      <c r="B4" s="30"/>
      <c r="C4" s="30"/>
    </row>
    <row r="5" spans="1:8" x14ac:dyDescent="0.3">
      <c r="A5" s="2" t="s">
        <v>2182</v>
      </c>
      <c r="B5" s="2" t="s">
        <v>2535</v>
      </c>
      <c r="C5" s="2" t="s">
        <v>2536</v>
      </c>
    </row>
    <row r="6" spans="1:8" x14ac:dyDescent="0.3">
      <c r="A6" s="9" t="s">
        <v>17</v>
      </c>
      <c r="B6" s="10">
        <f>COUNTIFS(Base_Unificada_Apoio!$B$5:$B$440,$A6,Base_Unificada_Apoio!$C$5:$C$440,"Primário")</f>
        <v>120</v>
      </c>
      <c r="C6" s="10">
        <f>COUNTIFS(Base_Unificada_Apoio!$B$5:$B$440,$A6,Base_Unificada_Apoio!$C$5:$C$440,"Secundário")</f>
        <v>17</v>
      </c>
    </row>
    <row r="7" spans="1:8" x14ac:dyDescent="0.3">
      <c r="A7" s="9" t="s">
        <v>773</v>
      </c>
      <c r="B7" s="10">
        <f>COUNTIFS(Base_Unificada_Apoio!$B$5:$B$440,$A7,Base_Unificada_Apoio!$C$5:$C$440,"Primário")</f>
        <v>120</v>
      </c>
      <c r="C7" s="10">
        <f>COUNTIFS(Base_Unificada_Apoio!$B$5:$B$440,$A7,Base_Unificada_Apoio!$C$5:$C$440,"Secundário")</f>
        <v>75</v>
      </c>
    </row>
    <row r="8" spans="1:8" x14ac:dyDescent="0.3">
      <c r="A8" s="9" t="s">
        <v>1494</v>
      </c>
      <c r="B8" s="10">
        <f>COUNTIFS(Base_Unificada_Apoio!$B$5:$B$440,$A8,Base_Unificada_Apoio!$C$5:$C$440,"Primário")</f>
        <v>85</v>
      </c>
      <c r="C8" s="10">
        <f>COUNTIFS(Base_Unificada_Apoio!$B$5:$B$440,$A8,Base_Unificada_Apoio!$C$5:$C$440,"Secundário")</f>
        <v>19</v>
      </c>
    </row>
    <row r="11" spans="1:8" x14ac:dyDescent="0.3">
      <c r="A11" s="34" t="s">
        <v>2537</v>
      </c>
      <c r="B11" s="30"/>
    </row>
    <row r="12" spans="1:8" x14ac:dyDescent="0.3">
      <c r="A12" s="2" t="s">
        <v>2183</v>
      </c>
      <c r="B12" s="2" t="s">
        <v>2538</v>
      </c>
    </row>
    <row r="13" spans="1:8" x14ac:dyDescent="0.3">
      <c r="A13" s="9" t="s">
        <v>18</v>
      </c>
      <c r="B13" s="10">
        <f>B6+B7+B8</f>
        <v>325</v>
      </c>
      <c r="D13" s="34" t="s">
        <v>2539</v>
      </c>
      <c r="E13" s="30"/>
    </row>
    <row r="14" spans="1:8" x14ac:dyDescent="0.3">
      <c r="A14" s="9" t="s">
        <v>1938</v>
      </c>
      <c r="B14" s="10">
        <f>C6+C7+C8</f>
        <v>111</v>
      </c>
      <c r="D14" s="2" t="s">
        <v>5</v>
      </c>
      <c r="E14" s="2" t="s">
        <v>2538</v>
      </c>
    </row>
    <row r="15" spans="1:8" x14ac:dyDescent="0.3">
      <c r="D15" s="10">
        <v>1993</v>
      </c>
      <c r="E15" s="10">
        <f>COUNTIFS(Base_Unificada_Apoio!$D$5:$D$440,D15,Base_Unificada_Apoio!$H$5:$H$440,1)</f>
        <v>2</v>
      </c>
    </row>
    <row r="16" spans="1:8" x14ac:dyDescent="0.3">
      <c r="D16" s="10">
        <v>2002</v>
      </c>
      <c r="E16" s="10">
        <f>COUNTIFS(Base_Unificada_Apoio!$D$5:$D$440,D16,Base_Unificada_Apoio!$H$5:$H$440,1)</f>
        <v>2</v>
      </c>
    </row>
    <row r="17" spans="4:5" x14ac:dyDescent="0.3">
      <c r="D17" s="10">
        <v>2003</v>
      </c>
      <c r="E17" s="10">
        <f>COUNTIFS(Base_Unificada_Apoio!$D$5:$D$440,D17,Base_Unificada_Apoio!$H$5:$H$440,1)</f>
        <v>1</v>
      </c>
    </row>
    <row r="18" spans="4:5" x14ac:dyDescent="0.3">
      <c r="D18" s="10">
        <v>2006</v>
      </c>
      <c r="E18" s="10">
        <f>COUNTIFS(Base_Unificada_Apoio!$D$5:$D$440,D18,Base_Unificada_Apoio!$H$5:$H$440,1)</f>
        <v>1</v>
      </c>
    </row>
    <row r="19" spans="4:5" x14ac:dyDescent="0.3">
      <c r="D19" s="10">
        <v>2007</v>
      </c>
      <c r="E19" s="10">
        <f>COUNTIFS(Base_Unificada_Apoio!$D$5:$D$440,D19,Base_Unificada_Apoio!$H$5:$H$440,1)</f>
        <v>2</v>
      </c>
    </row>
    <row r="20" spans="4:5" x14ac:dyDescent="0.3">
      <c r="D20" s="10">
        <v>2008</v>
      </c>
      <c r="E20" s="10">
        <f>COUNTIFS(Base_Unificada_Apoio!$D$5:$D$440,D20,Base_Unificada_Apoio!$H$5:$H$440,1)</f>
        <v>3</v>
      </c>
    </row>
    <row r="21" spans="4:5" x14ac:dyDescent="0.3">
      <c r="D21" s="10">
        <v>2010</v>
      </c>
      <c r="E21" s="10">
        <f>COUNTIFS(Base_Unificada_Apoio!$D$5:$D$440,D21,Base_Unificada_Apoio!$H$5:$H$440,1)</f>
        <v>4</v>
      </c>
    </row>
    <row r="22" spans="4:5" x14ac:dyDescent="0.3">
      <c r="D22" s="10">
        <v>2011</v>
      </c>
      <c r="E22" s="10">
        <f>COUNTIFS(Base_Unificada_Apoio!$D$5:$D$440,D22,Base_Unificada_Apoio!$H$5:$H$440,1)</f>
        <v>3</v>
      </c>
    </row>
    <row r="23" spans="4:5" x14ac:dyDescent="0.3">
      <c r="D23" s="10">
        <v>2012</v>
      </c>
      <c r="E23" s="10">
        <f>COUNTIFS(Base_Unificada_Apoio!$D$5:$D$440,D23,Base_Unificada_Apoio!$H$5:$H$440,1)</f>
        <v>1</v>
      </c>
    </row>
    <row r="24" spans="4:5" x14ac:dyDescent="0.3">
      <c r="D24" s="10">
        <v>2013</v>
      </c>
      <c r="E24" s="10">
        <f>COUNTIFS(Base_Unificada_Apoio!$D$5:$D$440,D24,Base_Unificada_Apoio!$H$5:$H$440,1)</f>
        <v>4</v>
      </c>
    </row>
    <row r="25" spans="4:5" x14ac:dyDescent="0.3">
      <c r="D25" s="10">
        <v>2014</v>
      </c>
      <c r="E25" s="10">
        <f>COUNTIFS(Base_Unificada_Apoio!$D$5:$D$440,D25,Base_Unificada_Apoio!$H$5:$H$440,1)</f>
        <v>5</v>
      </c>
    </row>
    <row r="26" spans="4:5" x14ac:dyDescent="0.3">
      <c r="D26" s="10">
        <v>2015</v>
      </c>
      <c r="E26" s="10">
        <f>COUNTIFS(Base_Unificada_Apoio!$D$5:$D$440,D26,Base_Unificada_Apoio!$H$5:$H$440,1)</f>
        <v>3</v>
      </c>
    </row>
    <row r="27" spans="4:5" x14ac:dyDescent="0.3">
      <c r="D27" s="10">
        <v>2016</v>
      </c>
      <c r="E27" s="10">
        <f>COUNTIFS(Base_Unificada_Apoio!$D$5:$D$440,D27,Base_Unificada_Apoio!$H$5:$H$440,1)</f>
        <v>6</v>
      </c>
    </row>
    <row r="28" spans="4:5" x14ac:dyDescent="0.3">
      <c r="D28" s="10">
        <v>2017</v>
      </c>
      <c r="E28" s="10">
        <f>COUNTIFS(Base_Unificada_Apoio!$D$5:$D$440,D28,Base_Unificada_Apoio!$H$5:$H$440,1)</f>
        <v>6</v>
      </c>
    </row>
    <row r="29" spans="4:5" x14ac:dyDescent="0.3">
      <c r="D29" s="10">
        <v>2018</v>
      </c>
      <c r="E29" s="10">
        <f>COUNTIFS(Base_Unificada_Apoio!$D$5:$D$440,D29,Base_Unificada_Apoio!$H$5:$H$440,1)</f>
        <v>4</v>
      </c>
    </row>
    <row r="30" spans="4:5" x14ac:dyDescent="0.3">
      <c r="D30" s="10">
        <v>2019</v>
      </c>
      <c r="E30" s="10">
        <f>COUNTIFS(Base_Unificada_Apoio!$D$5:$D$440,D30,Base_Unificada_Apoio!$H$5:$H$440,1)</f>
        <v>3</v>
      </c>
    </row>
    <row r="31" spans="4:5" x14ac:dyDescent="0.3">
      <c r="D31" s="10">
        <v>2020</v>
      </c>
      <c r="E31" s="10">
        <f>COUNTIFS(Base_Unificada_Apoio!$D$5:$D$440,D31,Base_Unificada_Apoio!$H$5:$H$440,1)</f>
        <v>2</v>
      </c>
    </row>
    <row r="32" spans="4:5" x14ac:dyDescent="0.3">
      <c r="D32" s="10">
        <v>2021</v>
      </c>
      <c r="E32" s="10">
        <f>COUNTIFS(Base_Unificada_Apoio!$D$5:$D$440,D32,Base_Unificada_Apoio!$H$5:$H$440,1)</f>
        <v>2</v>
      </c>
    </row>
    <row r="33" spans="4:5" x14ac:dyDescent="0.3">
      <c r="D33" s="10">
        <v>2022</v>
      </c>
      <c r="E33" s="10">
        <f>COUNTIFS(Base_Unificada_Apoio!$D$5:$D$440,D33,Base_Unificada_Apoio!$H$5:$H$440,1)</f>
        <v>5</v>
      </c>
    </row>
    <row r="34" spans="4:5" x14ac:dyDescent="0.3">
      <c r="D34" s="10">
        <v>2023</v>
      </c>
      <c r="E34" s="10">
        <f>COUNTIFS(Base_Unificada_Apoio!$D$5:$D$440,D34,Base_Unificada_Apoio!$H$5:$H$440,1)</f>
        <v>8</v>
      </c>
    </row>
    <row r="35" spans="4:5" x14ac:dyDescent="0.3">
      <c r="D35" s="10">
        <v>2024</v>
      </c>
      <c r="E35" s="10">
        <f>COUNTIFS(Base_Unificada_Apoio!$D$5:$D$440,D35,Base_Unificada_Apoio!$H$5:$H$440,1)</f>
        <v>39</v>
      </c>
    </row>
    <row r="36" spans="4:5" x14ac:dyDescent="0.3">
      <c r="D36" s="10">
        <v>2025</v>
      </c>
      <c r="E36" s="10">
        <f>COUNTIFS(Base_Unificada_Apoio!$D$5:$D$440,D36,Base_Unificada_Apoio!$H$5:$H$440,1)</f>
        <v>184</v>
      </c>
    </row>
    <row r="37" spans="4:5" x14ac:dyDescent="0.3">
      <c r="D37" s="10">
        <v>2026</v>
      </c>
      <c r="E37" s="10">
        <f>COUNTIFS(Base_Unificada_Apoio!$D$5:$D$440,D37,Base_Unificada_Apoio!$H$5:$H$440,1)</f>
        <v>35</v>
      </c>
    </row>
  </sheetData>
  <mergeCells count="5">
    <mergeCell ref="D13:E13"/>
    <mergeCell ref="A11:B11"/>
    <mergeCell ref="A2:H2"/>
    <mergeCell ref="A1:H1"/>
    <mergeCell ref="A4:C4"/>
  </mergeCells>
  <pageMargins left="0.7" right="0.7" top="0.75" bottom="0.75" header="0.3" footer="0.3"/>
  <pageSetup paperSize="9"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election sqref="A1:C1"/>
    </sheetView>
  </sheetViews>
  <sheetFormatPr defaultRowHeight="14.4" x14ac:dyDescent="0.3"/>
  <cols>
    <col min="1" max="1" width="28" customWidth="1"/>
    <col min="2" max="2" width="18" customWidth="1"/>
    <col min="3" max="3" width="70" customWidth="1"/>
  </cols>
  <sheetData>
    <row r="1" spans="1:3" ht="19.2" customHeight="1" x14ac:dyDescent="0.3">
      <c r="A1" s="31" t="s">
        <v>2540</v>
      </c>
      <c r="B1" s="30"/>
      <c r="C1" s="30"/>
    </row>
    <row r="2" spans="1:3" ht="28.8" customHeight="1" x14ac:dyDescent="0.3">
      <c r="A2" s="29" t="s">
        <v>2541</v>
      </c>
      <c r="B2" s="30"/>
      <c r="C2" s="30"/>
    </row>
    <row r="4" spans="1:3" ht="28.8" x14ac:dyDescent="0.3">
      <c r="A4" s="2" t="s">
        <v>2542</v>
      </c>
      <c r="B4" s="2" t="s">
        <v>2543</v>
      </c>
      <c r="C4" s="2" t="s">
        <v>2544</v>
      </c>
    </row>
    <row r="5" spans="1:3" ht="25.5" customHeight="1" x14ac:dyDescent="0.3">
      <c r="A5" s="4" t="s">
        <v>2545</v>
      </c>
      <c r="B5" s="10">
        <f>'Consolidação Geral da RSL'!B12</f>
        <v>436</v>
      </c>
      <c r="C5" s="4" t="s">
        <v>2546</v>
      </c>
    </row>
    <row r="6" spans="1:3" ht="25.5" customHeight="1" x14ac:dyDescent="0.3">
      <c r="A6" s="4" t="s">
        <v>2547</v>
      </c>
      <c r="B6" s="10">
        <f>'Consolidação Geral da RSL'!B13</f>
        <v>325</v>
      </c>
      <c r="C6" s="4" t="s">
        <v>2548</v>
      </c>
    </row>
    <row r="7" spans="1:3" ht="39.6" customHeight="1" x14ac:dyDescent="0.3">
      <c r="A7" s="4" t="s">
        <v>2549</v>
      </c>
      <c r="B7" s="10">
        <f>'Consolidação Geral da RSL'!B13</f>
        <v>325</v>
      </c>
      <c r="C7" s="4" t="s">
        <v>2550</v>
      </c>
    </row>
    <row r="8" spans="1:3" ht="38.4" customHeight="1" x14ac:dyDescent="0.3">
      <c r="A8" s="4" t="s">
        <v>2551</v>
      </c>
      <c r="B8" s="10">
        <f>'Consolidação Geral da RSL'!B14</f>
        <v>166</v>
      </c>
      <c r="C8" s="4" t="s">
        <v>2552</v>
      </c>
    </row>
    <row r="9" spans="1:3" ht="25.5" customHeight="1" x14ac:dyDescent="0.3">
      <c r="A9" s="4" t="s">
        <v>2553</v>
      </c>
      <c r="B9" s="10">
        <f>'Consolidação Geral da RSL'!B15</f>
        <v>166</v>
      </c>
      <c r="C9" s="4" t="s">
        <v>2554</v>
      </c>
    </row>
  </sheetData>
  <mergeCells count="2">
    <mergeCell ref="A1:C1"/>
    <mergeCell ref="A2:C2"/>
  </mergeCell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29"/>
  <sheetViews>
    <sheetView workbookViewId="0">
      <selection sqref="A1:H1"/>
    </sheetView>
  </sheetViews>
  <sheetFormatPr defaultRowHeight="14.4" x14ac:dyDescent="0.3"/>
  <cols>
    <col min="1" max="1" width="34" customWidth="1"/>
    <col min="2" max="2" width="12" customWidth="1"/>
    <col min="3" max="3" width="22" customWidth="1"/>
    <col min="4" max="4" width="18" customWidth="1"/>
    <col min="5" max="5" width="26" customWidth="1"/>
    <col min="6" max="6" width="64" customWidth="1"/>
    <col min="7" max="7" width="24" customWidth="1"/>
    <col min="8" max="8" width="12" customWidth="1"/>
  </cols>
  <sheetData>
    <row r="1" spans="1:8" ht="19.2" customHeight="1" x14ac:dyDescent="0.3">
      <c r="A1" s="31" t="s">
        <v>2555</v>
      </c>
      <c r="B1" s="30"/>
      <c r="C1" s="30"/>
      <c r="D1" s="30"/>
      <c r="E1" s="30"/>
      <c r="F1" s="30"/>
      <c r="G1" s="30"/>
      <c r="H1" s="30"/>
    </row>
    <row r="2" spans="1:8" ht="28.8" customHeight="1" x14ac:dyDescent="0.3">
      <c r="A2" s="29" t="s">
        <v>2556</v>
      </c>
      <c r="B2" s="30"/>
      <c r="C2" s="30"/>
      <c r="D2" s="30"/>
      <c r="E2" s="30"/>
      <c r="F2" s="30"/>
      <c r="G2" s="30"/>
      <c r="H2" s="30"/>
    </row>
    <row r="4" spans="1:8" ht="43.2" x14ac:dyDescent="0.3">
      <c r="A4" s="2" t="s">
        <v>2557</v>
      </c>
      <c r="B4" s="2" t="s">
        <v>2558</v>
      </c>
      <c r="C4" s="2" t="s">
        <v>2559</v>
      </c>
      <c r="D4" s="2" t="s">
        <v>2560</v>
      </c>
      <c r="E4" s="2" t="s">
        <v>2561</v>
      </c>
      <c r="F4" s="2" t="s">
        <v>2562</v>
      </c>
      <c r="G4" s="2" t="s">
        <v>8</v>
      </c>
      <c r="H4" s="2" t="s">
        <v>2563</v>
      </c>
    </row>
    <row r="5" spans="1:8" ht="33.6" customHeight="1" x14ac:dyDescent="0.3">
      <c r="A5" s="4" t="s">
        <v>2229</v>
      </c>
      <c r="B5" s="12">
        <v>3</v>
      </c>
      <c r="C5" s="4" t="s">
        <v>2564</v>
      </c>
      <c r="D5" s="4" t="s">
        <v>2565</v>
      </c>
      <c r="E5" s="4" t="s">
        <v>2566</v>
      </c>
      <c r="F5" s="4" t="s">
        <v>281</v>
      </c>
      <c r="G5" s="4" t="s">
        <v>283</v>
      </c>
      <c r="H5" s="13" t="s">
        <v>2567</v>
      </c>
    </row>
    <row r="6" spans="1:8" ht="33.6" customHeight="1" x14ac:dyDescent="0.3">
      <c r="A6" s="4" t="s">
        <v>2455</v>
      </c>
      <c r="B6" s="12">
        <v>3</v>
      </c>
      <c r="C6" s="4" t="s">
        <v>2568</v>
      </c>
      <c r="D6" s="4" t="s">
        <v>2565</v>
      </c>
      <c r="E6" s="4" t="s">
        <v>2569</v>
      </c>
      <c r="F6" s="4" t="s">
        <v>1690</v>
      </c>
      <c r="G6" s="4" t="s">
        <v>1692</v>
      </c>
      <c r="H6" s="13" t="s">
        <v>2567</v>
      </c>
    </row>
    <row r="7" spans="1:8" ht="33.6" customHeight="1" x14ac:dyDescent="0.3">
      <c r="A7" s="4" t="s">
        <v>2259</v>
      </c>
      <c r="B7" s="12">
        <v>3</v>
      </c>
      <c r="C7" s="4" t="s">
        <v>2564</v>
      </c>
      <c r="D7" s="4" t="s">
        <v>2565</v>
      </c>
      <c r="E7" s="4" t="s">
        <v>2570</v>
      </c>
      <c r="F7" s="4" t="s">
        <v>465</v>
      </c>
      <c r="G7" s="4" t="s">
        <v>467</v>
      </c>
      <c r="H7" s="13" t="s">
        <v>2567</v>
      </c>
    </row>
    <row r="8" spans="1:8" ht="33.6" customHeight="1" x14ac:dyDescent="0.3">
      <c r="A8" s="4" t="s">
        <v>2470</v>
      </c>
      <c r="B8" s="12">
        <v>2</v>
      </c>
      <c r="C8" s="4" t="s">
        <v>1494</v>
      </c>
      <c r="D8" s="4" t="s">
        <v>2565</v>
      </c>
      <c r="E8" s="4" t="s">
        <v>2571</v>
      </c>
      <c r="F8" s="4" t="s">
        <v>1784</v>
      </c>
      <c r="G8" s="4" t="s">
        <v>1786</v>
      </c>
      <c r="H8" s="13" t="s">
        <v>2567</v>
      </c>
    </row>
    <row r="9" spans="1:8" ht="33.6" customHeight="1" x14ac:dyDescent="0.3">
      <c r="A9" s="4" t="s">
        <v>2475</v>
      </c>
      <c r="B9" s="12">
        <v>2</v>
      </c>
      <c r="C9" s="4" t="s">
        <v>1494</v>
      </c>
      <c r="D9" s="4" t="s">
        <v>2565</v>
      </c>
      <c r="E9" s="4" t="s">
        <v>2572</v>
      </c>
      <c r="F9" s="4" t="s">
        <v>1827</v>
      </c>
      <c r="G9" s="4" t="s">
        <v>1829</v>
      </c>
      <c r="H9" s="13" t="s">
        <v>2567</v>
      </c>
    </row>
    <row r="10" spans="1:8" ht="33.6" customHeight="1" x14ac:dyDescent="0.3">
      <c r="A10" s="4" t="s">
        <v>2294</v>
      </c>
      <c r="B10" s="12">
        <v>2</v>
      </c>
      <c r="C10" s="4" t="s">
        <v>2564</v>
      </c>
      <c r="D10" s="4" t="s">
        <v>18</v>
      </c>
      <c r="E10" s="4" t="s">
        <v>2573</v>
      </c>
      <c r="F10" s="4" t="s">
        <v>680</v>
      </c>
      <c r="G10" s="4" t="s">
        <v>682</v>
      </c>
      <c r="H10" s="13" t="s">
        <v>2567</v>
      </c>
    </row>
    <row r="11" spans="1:8" ht="33.6" customHeight="1" x14ac:dyDescent="0.3">
      <c r="A11" s="4" t="s">
        <v>2245</v>
      </c>
      <c r="B11" s="12">
        <v>2</v>
      </c>
      <c r="C11" s="4" t="s">
        <v>2564</v>
      </c>
      <c r="D11" s="4" t="s">
        <v>18</v>
      </c>
      <c r="E11" s="4" t="s">
        <v>2574</v>
      </c>
      <c r="F11" s="4" t="s">
        <v>379</v>
      </c>
      <c r="G11" s="4" t="s">
        <v>381</v>
      </c>
      <c r="H11" s="13" t="s">
        <v>2567</v>
      </c>
    </row>
    <row r="12" spans="1:8" ht="33.6" customHeight="1" x14ac:dyDescent="0.3">
      <c r="A12" s="4" t="s">
        <v>2219</v>
      </c>
      <c r="B12" s="12">
        <v>2</v>
      </c>
      <c r="C12" s="4" t="s">
        <v>2564</v>
      </c>
      <c r="D12" s="4" t="s">
        <v>18</v>
      </c>
      <c r="E12" s="4" t="s">
        <v>2575</v>
      </c>
      <c r="F12" s="4" t="s">
        <v>218</v>
      </c>
      <c r="G12" s="4" t="s">
        <v>220</v>
      </c>
      <c r="H12" s="13" t="s">
        <v>2567</v>
      </c>
    </row>
    <row r="13" spans="1:8" ht="33.6" customHeight="1" x14ac:dyDescent="0.3">
      <c r="A13" s="4" t="s">
        <v>2250</v>
      </c>
      <c r="B13" s="12">
        <v>2</v>
      </c>
      <c r="C13" s="4" t="s">
        <v>2564</v>
      </c>
      <c r="D13" s="4" t="s">
        <v>18</v>
      </c>
      <c r="E13" s="4" t="s">
        <v>2576</v>
      </c>
      <c r="F13" s="4" t="s">
        <v>409</v>
      </c>
      <c r="G13" s="4" t="s">
        <v>411</v>
      </c>
      <c r="H13" s="13" t="s">
        <v>2567</v>
      </c>
    </row>
    <row r="14" spans="1:8" ht="33.6" customHeight="1" x14ac:dyDescent="0.3">
      <c r="A14" s="4" t="s">
        <v>2240</v>
      </c>
      <c r="B14" s="12">
        <v>2</v>
      </c>
      <c r="C14" s="4" t="s">
        <v>2564</v>
      </c>
      <c r="D14" s="4" t="s">
        <v>18</v>
      </c>
      <c r="E14" s="4" t="s">
        <v>2577</v>
      </c>
      <c r="F14" s="4" t="s">
        <v>2578</v>
      </c>
      <c r="G14" s="4" t="s">
        <v>350</v>
      </c>
      <c r="H14" s="13" t="s">
        <v>2567</v>
      </c>
    </row>
    <row r="15" spans="1:8" ht="33.6" customHeight="1" x14ac:dyDescent="0.3">
      <c r="A15" s="4" t="s">
        <v>2207</v>
      </c>
      <c r="B15" s="12">
        <v>2</v>
      </c>
      <c r="C15" s="4" t="s">
        <v>17</v>
      </c>
      <c r="D15" s="4" t="s">
        <v>2565</v>
      </c>
      <c r="E15" s="4" t="s">
        <v>2579</v>
      </c>
      <c r="F15" s="4" t="s">
        <v>143</v>
      </c>
      <c r="G15" s="4" t="s">
        <v>145</v>
      </c>
      <c r="H15" s="13" t="s">
        <v>2567</v>
      </c>
    </row>
    <row r="16" spans="1:8" ht="33.6" customHeight="1" x14ac:dyDescent="0.3">
      <c r="A16" s="4" t="s">
        <v>2198</v>
      </c>
      <c r="B16" s="12">
        <v>2</v>
      </c>
      <c r="C16" s="4" t="s">
        <v>2564</v>
      </c>
      <c r="D16" s="4" t="s">
        <v>18</v>
      </c>
      <c r="E16" s="4" t="s">
        <v>2580</v>
      </c>
      <c r="F16" s="4" t="s">
        <v>83</v>
      </c>
      <c r="G16" s="4" t="s">
        <v>85</v>
      </c>
      <c r="H16" s="13" t="s">
        <v>2567</v>
      </c>
    </row>
    <row r="17" spans="1:8" ht="33.6" customHeight="1" x14ac:dyDescent="0.3">
      <c r="A17" s="4" t="s">
        <v>2291</v>
      </c>
      <c r="B17" s="12">
        <v>2</v>
      </c>
      <c r="C17" s="4" t="s">
        <v>2564</v>
      </c>
      <c r="D17" s="4" t="s">
        <v>18</v>
      </c>
      <c r="E17" s="4" t="s">
        <v>2581</v>
      </c>
      <c r="F17" s="4" t="s">
        <v>662</v>
      </c>
      <c r="G17" s="4" t="s">
        <v>664</v>
      </c>
      <c r="H17" s="13" t="s">
        <v>2567</v>
      </c>
    </row>
    <row r="18" spans="1:8" ht="33.6" customHeight="1" x14ac:dyDescent="0.3">
      <c r="A18" s="4" t="s">
        <v>2275</v>
      </c>
      <c r="B18" s="12">
        <v>2</v>
      </c>
      <c r="C18" s="4" t="s">
        <v>2564</v>
      </c>
      <c r="D18" s="4" t="s">
        <v>18</v>
      </c>
      <c r="E18" s="4" t="s">
        <v>2582</v>
      </c>
      <c r="F18" s="4" t="s">
        <v>562</v>
      </c>
      <c r="G18" s="4" t="s">
        <v>564</v>
      </c>
      <c r="H18" s="13" t="s">
        <v>2567</v>
      </c>
    </row>
    <row r="19" spans="1:8" ht="33.6" customHeight="1" x14ac:dyDescent="0.3">
      <c r="A19" s="4" t="s">
        <v>2242</v>
      </c>
      <c r="B19" s="12">
        <v>2</v>
      </c>
      <c r="C19" s="4" t="s">
        <v>2564</v>
      </c>
      <c r="D19" s="4" t="s">
        <v>18</v>
      </c>
      <c r="E19" s="4" t="s">
        <v>2583</v>
      </c>
      <c r="F19" s="4" t="s">
        <v>361</v>
      </c>
      <c r="G19" s="4" t="s">
        <v>363</v>
      </c>
      <c r="H19" s="13" t="s">
        <v>2567</v>
      </c>
    </row>
    <row r="20" spans="1:8" ht="33.6" customHeight="1" x14ac:dyDescent="0.3">
      <c r="A20" s="4" t="s">
        <v>2499</v>
      </c>
      <c r="B20" s="12">
        <v>2</v>
      </c>
      <c r="C20" s="4" t="s">
        <v>2564</v>
      </c>
      <c r="D20" s="4" t="s">
        <v>1938</v>
      </c>
      <c r="E20" s="4" t="s">
        <v>2584</v>
      </c>
      <c r="F20" s="4" t="s">
        <v>1998</v>
      </c>
      <c r="G20" s="4" t="s">
        <v>2000</v>
      </c>
      <c r="H20" s="13" t="s">
        <v>2567</v>
      </c>
    </row>
    <row r="21" spans="1:8" ht="33.6" customHeight="1" x14ac:dyDescent="0.3">
      <c r="A21" s="4" t="s">
        <v>2197</v>
      </c>
      <c r="B21" s="12">
        <v>2</v>
      </c>
      <c r="C21" s="4" t="s">
        <v>2564</v>
      </c>
      <c r="D21" s="4" t="s">
        <v>18</v>
      </c>
      <c r="E21" s="4" t="s">
        <v>2585</v>
      </c>
      <c r="F21" s="4" t="s">
        <v>75</v>
      </c>
      <c r="G21" s="4" t="s">
        <v>77</v>
      </c>
      <c r="H21" s="13" t="s">
        <v>2567</v>
      </c>
    </row>
    <row r="22" spans="1:8" ht="33.6" customHeight="1" x14ac:dyDescent="0.3">
      <c r="A22" s="4" t="s">
        <v>2277</v>
      </c>
      <c r="B22" s="12">
        <v>2</v>
      </c>
      <c r="C22" s="4" t="s">
        <v>2564</v>
      </c>
      <c r="D22" s="4" t="s">
        <v>18</v>
      </c>
      <c r="E22" s="4" t="s">
        <v>2586</v>
      </c>
      <c r="F22" s="4" t="s">
        <v>574</v>
      </c>
      <c r="G22" s="4" t="s">
        <v>576</v>
      </c>
      <c r="H22" s="13" t="s">
        <v>2567</v>
      </c>
    </row>
    <row r="23" spans="1:8" ht="33.6" customHeight="1" x14ac:dyDescent="0.3">
      <c r="A23" s="4" t="s">
        <v>2268</v>
      </c>
      <c r="B23" s="12">
        <v>2</v>
      </c>
      <c r="C23" s="4" t="s">
        <v>17</v>
      </c>
      <c r="D23" s="4" t="s">
        <v>2565</v>
      </c>
      <c r="E23" s="4" t="s">
        <v>2587</v>
      </c>
      <c r="F23" s="4" t="s">
        <v>520</v>
      </c>
      <c r="G23" s="4" t="s">
        <v>522</v>
      </c>
      <c r="H23" s="13" t="s">
        <v>2567</v>
      </c>
    </row>
    <row r="24" spans="1:8" ht="33.6" customHeight="1" x14ac:dyDescent="0.3">
      <c r="A24" s="4" t="s">
        <v>2286</v>
      </c>
      <c r="B24" s="12">
        <v>2</v>
      </c>
      <c r="C24" s="4" t="s">
        <v>2564</v>
      </c>
      <c r="D24" s="4" t="s">
        <v>18</v>
      </c>
      <c r="E24" s="4" t="s">
        <v>2588</v>
      </c>
      <c r="F24" s="4" t="s">
        <v>2589</v>
      </c>
      <c r="G24" s="4" t="s">
        <v>632</v>
      </c>
      <c r="H24" s="13" t="s">
        <v>2567</v>
      </c>
    </row>
    <row r="25" spans="1:8" ht="33.6" customHeight="1" x14ac:dyDescent="0.3">
      <c r="A25" s="4" t="s">
        <v>2227</v>
      </c>
      <c r="B25" s="12">
        <v>2</v>
      </c>
      <c r="C25" s="4" t="s">
        <v>2564</v>
      </c>
      <c r="D25" s="4" t="s">
        <v>18</v>
      </c>
      <c r="E25" s="4" t="s">
        <v>2590</v>
      </c>
      <c r="F25" s="4" t="s">
        <v>268</v>
      </c>
      <c r="G25" s="4" t="s">
        <v>270</v>
      </c>
      <c r="H25" s="13" t="s">
        <v>2567</v>
      </c>
    </row>
    <row r="26" spans="1:8" ht="33.6" customHeight="1" x14ac:dyDescent="0.3">
      <c r="A26" s="4" t="s">
        <v>2300</v>
      </c>
      <c r="B26" s="12">
        <v>2</v>
      </c>
      <c r="C26" s="4" t="s">
        <v>2564</v>
      </c>
      <c r="D26" s="4" t="s">
        <v>18</v>
      </c>
      <c r="E26" s="4" t="s">
        <v>2591</v>
      </c>
      <c r="F26" s="4" t="s">
        <v>2592</v>
      </c>
      <c r="G26" s="4" t="s">
        <v>718</v>
      </c>
      <c r="H26" s="13" t="s">
        <v>2567</v>
      </c>
    </row>
    <row r="27" spans="1:8" ht="33.6" customHeight="1" x14ac:dyDescent="0.3">
      <c r="A27" s="4" t="s">
        <v>2269</v>
      </c>
      <c r="B27" s="12">
        <v>2</v>
      </c>
      <c r="C27" s="4" t="s">
        <v>2564</v>
      </c>
      <c r="D27" s="4" t="s">
        <v>18</v>
      </c>
      <c r="E27" s="4" t="s">
        <v>2593</v>
      </c>
      <c r="F27" s="4" t="s">
        <v>526</v>
      </c>
      <c r="G27" s="4" t="s">
        <v>528</v>
      </c>
      <c r="H27" s="13" t="s">
        <v>2567</v>
      </c>
    </row>
    <row r="28" spans="1:8" ht="33.6" customHeight="1" x14ac:dyDescent="0.3">
      <c r="A28" s="4" t="s">
        <v>2246</v>
      </c>
      <c r="B28" s="12">
        <v>2</v>
      </c>
      <c r="C28" s="4" t="s">
        <v>2564</v>
      </c>
      <c r="D28" s="4" t="s">
        <v>18</v>
      </c>
      <c r="E28" s="4" t="s">
        <v>2594</v>
      </c>
      <c r="F28" s="4" t="s">
        <v>385</v>
      </c>
      <c r="G28" s="4" t="s">
        <v>387</v>
      </c>
      <c r="H28" s="13" t="s">
        <v>2567</v>
      </c>
    </row>
    <row r="29" spans="1:8" ht="33.6" customHeight="1" x14ac:dyDescent="0.3">
      <c r="A29" s="4" t="s">
        <v>2206</v>
      </c>
      <c r="B29" s="12">
        <v>2</v>
      </c>
      <c r="C29" s="4" t="s">
        <v>2564</v>
      </c>
      <c r="D29" s="4" t="s">
        <v>18</v>
      </c>
      <c r="E29" s="4" t="s">
        <v>2595</v>
      </c>
      <c r="F29" s="4" t="s">
        <v>136</v>
      </c>
      <c r="G29" s="4" t="s">
        <v>138</v>
      </c>
      <c r="H29" s="13" t="s">
        <v>2567</v>
      </c>
    </row>
    <row r="30" spans="1:8" ht="33.6" customHeight="1" x14ac:dyDescent="0.3">
      <c r="A30" s="4" t="s">
        <v>2258</v>
      </c>
      <c r="B30" s="12">
        <v>2</v>
      </c>
      <c r="C30" s="4" t="s">
        <v>2564</v>
      </c>
      <c r="D30" s="4" t="s">
        <v>18</v>
      </c>
      <c r="E30" s="4" t="s">
        <v>2596</v>
      </c>
      <c r="F30" s="4" t="s">
        <v>459</v>
      </c>
      <c r="G30" s="4" t="s">
        <v>461</v>
      </c>
      <c r="H30" s="13" t="s">
        <v>2567</v>
      </c>
    </row>
    <row r="31" spans="1:8" ht="33.6" customHeight="1" x14ac:dyDescent="0.3">
      <c r="A31" s="4" t="s">
        <v>2252</v>
      </c>
      <c r="B31" s="12">
        <v>2</v>
      </c>
      <c r="C31" s="4" t="s">
        <v>17</v>
      </c>
      <c r="D31" s="4" t="s">
        <v>2565</v>
      </c>
      <c r="E31" s="4" t="s">
        <v>2597</v>
      </c>
      <c r="F31" s="4" t="s">
        <v>422</v>
      </c>
      <c r="G31" s="4" t="s">
        <v>424</v>
      </c>
      <c r="H31" s="13" t="s">
        <v>2567</v>
      </c>
    </row>
    <row r="32" spans="1:8" ht="33.6" customHeight="1" x14ac:dyDescent="0.3">
      <c r="A32" s="4" t="s">
        <v>2221</v>
      </c>
      <c r="B32" s="12">
        <v>2</v>
      </c>
      <c r="C32" s="4" t="s">
        <v>2564</v>
      </c>
      <c r="D32" s="4" t="s">
        <v>18</v>
      </c>
      <c r="E32" s="4" t="s">
        <v>2598</v>
      </c>
      <c r="F32" s="4" t="s">
        <v>230</v>
      </c>
      <c r="G32" s="4" t="s">
        <v>232</v>
      </c>
      <c r="H32" s="13" t="s">
        <v>2567</v>
      </c>
    </row>
    <row r="33" spans="1:8" ht="33.6" customHeight="1" x14ac:dyDescent="0.3">
      <c r="A33" s="4" t="s">
        <v>2223</v>
      </c>
      <c r="B33" s="12">
        <v>2</v>
      </c>
      <c r="C33" s="4" t="s">
        <v>2564</v>
      </c>
      <c r="D33" s="4" t="s">
        <v>18</v>
      </c>
      <c r="E33" s="4" t="s">
        <v>2599</v>
      </c>
      <c r="F33" s="4" t="s">
        <v>243</v>
      </c>
      <c r="G33" s="4" t="s">
        <v>245</v>
      </c>
      <c r="H33" s="13" t="s">
        <v>2567</v>
      </c>
    </row>
    <row r="34" spans="1:8" ht="33.6" customHeight="1" x14ac:dyDescent="0.3">
      <c r="A34" s="4" t="s">
        <v>2196</v>
      </c>
      <c r="B34" s="12">
        <v>2</v>
      </c>
      <c r="C34" s="4" t="s">
        <v>2564</v>
      </c>
      <c r="D34" s="4" t="s">
        <v>18</v>
      </c>
      <c r="E34" s="4" t="s">
        <v>2600</v>
      </c>
      <c r="F34" s="4" t="s">
        <v>68</v>
      </c>
      <c r="G34" s="4" t="s">
        <v>70</v>
      </c>
      <c r="H34" s="13" t="s">
        <v>2567</v>
      </c>
    </row>
    <row r="35" spans="1:8" ht="33.6" customHeight="1" x14ac:dyDescent="0.3">
      <c r="A35" s="4" t="s">
        <v>2272</v>
      </c>
      <c r="B35" s="12">
        <v>2</v>
      </c>
      <c r="C35" s="4" t="s">
        <v>2564</v>
      </c>
      <c r="D35" s="4" t="s">
        <v>18</v>
      </c>
      <c r="E35" s="4" t="s">
        <v>2601</v>
      </c>
      <c r="F35" s="4" t="s">
        <v>544</v>
      </c>
      <c r="G35" s="4" t="s">
        <v>546</v>
      </c>
      <c r="H35" s="13" t="s">
        <v>2567</v>
      </c>
    </row>
    <row r="36" spans="1:8" ht="33.6" customHeight="1" x14ac:dyDescent="0.3">
      <c r="A36" s="4" t="s">
        <v>2494</v>
      </c>
      <c r="B36" s="12">
        <v>2</v>
      </c>
      <c r="C36" s="4" t="s">
        <v>2564</v>
      </c>
      <c r="D36" s="4" t="s">
        <v>1938</v>
      </c>
      <c r="E36" s="4" t="s">
        <v>2602</v>
      </c>
      <c r="F36" s="4" t="s">
        <v>1963</v>
      </c>
      <c r="G36" s="4" t="s">
        <v>1965</v>
      </c>
      <c r="H36" s="13" t="s">
        <v>2567</v>
      </c>
    </row>
    <row r="37" spans="1:8" ht="33.6" customHeight="1" x14ac:dyDescent="0.3">
      <c r="A37" s="4" t="s">
        <v>2225</v>
      </c>
      <c r="B37" s="12">
        <v>2</v>
      </c>
      <c r="C37" s="4" t="s">
        <v>2564</v>
      </c>
      <c r="D37" s="4" t="s">
        <v>18</v>
      </c>
      <c r="E37" s="4" t="s">
        <v>2603</v>
      </c>
      <c r="F37" s="4" t="s">
        <v>2604</v>
      </c>
      <c r="G37" s="4" t="s">
        <v>257</v>
      </c>
      <c r="H37" s="13" t="s">
        <v>2567</v>
      </c>
    </row>
    <row r="38" spans="1:8" ht="33.6" customHeight="1" x14ac:dyDescent="0.3">
      <c r="A38" s="4" t="s">
        <v>2428</v>
      </c>
      <c r="B38" s="12">
        <v>2</v>
      </c>
      <c r="C38" s="4" t="s">
        <v>773</v>
      </c>
      <c r="D38" s="4" t="s">
        <v>2565</v>
      </c>
      <c r="E38" s="4" t="s">
        <v>2605</v>
      </c>
      <c r="F38" s="4" t="s">
        <v>1485</v>
      </c>
      <c r="G38" s="4" t="s">
        <v>1487</v>
      </c>
      <c r="H38" s="13" t="s">
        <v>2567</v>
      </c>
    </row>
    <row r="39" spans="1:8" ht="33.6" customHeight="1" x14ac:dyDescent="0.3">
      <c r="A39" s="4" t="s">
        <v>2391</v>
      </c>
      <c r="B39" s="12">
        <v>2</v>
      </c>
      <c r="C39" s="4" t="s">
        <v>773</v>
      </c>
      <c r="D39" s="4" t="s">
        <v>2565</v>
      </c>
      <c r="E39" s="4" t="s">
        <v>2606</v>
      </c>
      <c r="F39" s="4" t="s">
        <v>1269</v>
      </c>
      <c r="G39" s="4" t="s">
        <v>1271</v>
      </c>
      <c r="H39" s="13" t="s">
        <v>2567</v>
      </c>
    </row>
    <row r="40" spans="1:8" ht="33.6" customHeight="1" x14ac:dyDescent="0.3">
      <c r="A40" s="4" t="s">
        <v>2398</v>
      </c>
      <c r="B40" s="12">
        <v>2</v>
      </c>
      <c r="C40" s="4" t="s">
        <v>773</v>
      </c>
      <c r="D40" s="4" t="s">
        <v>2565</v>
      </c>
      <c r="E40" s="4" t="s">
        <v>2607</v>
      </c>
      <c r="F40" s="4" t="s">
        <v>1311</v>
      </c>
      <c r="G40" s="4" t="s">
        <v>1313</v>
      </c>
      <c r="H40" s="13" t="s">
        <v>2567</v>
      </c>
    </row>
    <row r="41" spans="1:8" ht="33.6" customHeight="1" x14ac:dyDescent="0.3">
      <c r="A41" s="4" t="s">
        <v>2399</v>
      </c>
      <c r="B41" s="12">
        <v>2</v>
      </c>
      <c r="C41" s="4" t="s">
        <v>773</v>
      </c>
      <c r="D41" s="4" t="s">
        <v>2565</v>
      </c>
      <c r="E41" s="4" t="s">
        <v>2608</v>
      </c>
      <c r="F41" s="4" t="s">
        <v>1317</v>
      </c>
      <c r="G41" s="4" t="s">
        <v>1319</v>
      </c>
      <c r="H41" s="13" t="s">
        <v>2567</v>
      </c>
    </row>
    <row r="42" spans="1:8" ht="33.6" customHeight="1" x14ac:dyDescent="0.3">
      <c r="A42" s="4" t="s">
        <v>2395</v>
      </c>
      <c r="B42" s="12">
        <v>2</v>
      </c>
      <c r="C42" s="4" t="s">
        <v>773</v>
      </c>
      <c r="D42" s="4" t="s">
        <v>2565</v>
      </c>
      <c r="E42" s="4" t="s">
        <v>2609</v>
      </c>
      <c r="F42" s="4" t="s">
        <v>1293</v>
      </c>
      <c r="G42" s="4" t="s">
        <v>1295</v>
      </c>
      <c r="H42" s="13" t="s">
        <v>2567</v>
      </c>
    </row>
    <row r="43" spans="1:8" ht="33.6" customHeight="1" x14ac:dyDescent="0.3">
      <c r="A43" s="4" t="s">
        <v>2396</v>
      </c>
      <c r="B43" s="12">
        <v>2</v>
      </c>
      <c r="C43" s="4" t="s">
        <v>773</v>
      </c>
      <c r="D43" s="4" t="s">
        <v>2565</v>
      </c>
      <c r="E43" s="4" t="s">
        <v>2610</v>
      </c>
      <c r="F43" s="4" t="s">
        <v>1299</v>
      </c>
      <c r="G43" s="4" t="s">
        <v>1301</v>
      </c>
      <c r="H43" s="13" t="s">
        <v>2567</v>
      </c>
    </row>
    <row r="44" spans="1:8" ht="33.6" customHeight="1" x14ac:dyDescent="0.3">
      <c r="A44" s="4" t="s">
        <v>2384</v>
      </c>
      <c r="B44" s="12">
        <v>2</v>
      </c>
      <c r="C44" s="4" t="s">
        <v>773</v>
      </c>
      <c r="D44" s="4" t="s">
        <v>2565</v>
      </c>
      <c r="E44" s="4" t="s">
        <v>2611</v>
      </c>
      <c r="F44" s="4" t="s">
        <v>1226</v>
      </c>
      <c r="G44" s="4" t="s">
        <v>1228</v>
      </c>
      <c r="H44" s="13" t="s">
        <v>2567</v>
      </c>
    </row>
    <row r="45" spans="1:8" ht="33.6" customHeight="1" x14ac:dyDescent="0.3">
      <c r="A45" s="4" t="s">
        <v>2370</v>
      </c>
      <c r="B45" s="12">
        <v>2</v>
      </c>
      <c r="C45" s="4" t="s">
        <v>773</v>
      </c>
      <c r="D45" s="4" t="s">
        <v>2565</v>
      </c>
      <c r="E45" s="4" t="s">
        <v>2612</v>
      </c>
      <c r="F45" s="4" t="s">
        <v>1142</v>
      </c>
      <c r="G45" s="4" t="s">
        <v>1144</v>
      </c>
      <c r="H45" s="13" t="s">
        <v>2567</v>
      </c>
    </row>
    <row r="46" spans="1:8" ht="33.6" customHeight="1" x14ac:dyDescent="0.3">
      <c r="A46" s="4" t="s">
        <v>2381</v>
      </c>
      <c r="B46" s="12">
        <v>2</v>
      </c>
      <c r="C46" s="4" t="s">
        <v>773</v>
      </c>
      <c r="D46" s="4" t="s">
        <v>2565</v>
      </c>
      <c r="E46" s="4" t="s">
        <v>2613</v>
      </c>
      <c r="F46" s="4" t="s">
        <v>1208</v>
      </c>
      <c r="G46" s="4" t="s">
        <v>1210</v>
      </c>
      <c r="H46" s="13" t="s">
        <v>2567</v>
      </c>
    </row>
    <row r="47" spans="1:8" ht="33.6" customHeight="1" x14ac:dyDescent="0.3">
      <c r="A47" s="4" t="s">
        <v>2326</v>
      </c>
      <c r="B47" s="12">
        <v>2</v>
      </c>
      <c r="C47" s="4" t="s">
        <v>773</v>
      </c>
      <c r="D47" s="4" t="s">
        <v>2565</v>
      </c>
      <c r="E47" s="4" t="s">
        <v>2614</v>
      </c>
      <c r="F47" s="4" t="s">
        <v>874</v>
      </c>
      <c r="G47" s="4" t="s">
        <v>876</v>
      </c>
      <c r="H47" s="13" t="s">
        <v>2567</v>
      </c>
    </row>
    <row r="48" spans="1:8" ht="33.6" customHeight="1" x14ac:dyDescent="0.3">
      <c r="A48" s="4" t="s">
        <v>2390</v>
      </c>
      <c r="B48" s="12">
        <v>2</v>
      </c>
      <c r="C48" s="4" t="s">
        <v>773</v>
      </c>
      <c r="D48" s="4" t="s">
        <v>2565</v>
      </c>
      <c r="E48" s="4" t="s">
        <v>2615</v>
      </c>
      <c r="F48" s="4" t="s">
        <v>1263</v>
      </c>
      <c r="G48" s="4" t="s">
        <v>1265</v>
      </c>
      <c r="H48" s="13" t="s">
        <v>2567</v>
      </c>
    </row>
    <row r="49" spans="1:8" ht="33.6" customHeight="1" x14ac:dyDescent="0.3">
      <c r="A49" s="4" t="s">
        <v>2383</v>
      </c>
      <c r="B49" s="12">
        <v>2</v>
      </c>
      <c r="C49" s="4" t="s">
        <v>773</v>
      </c>
      <c r="D49" s="4" t="s">
        <v>2565</v>
      </c>
      <c r="E49" s="4" t="s">
        <v>2616</v>
      </c>
      <c r="F49" s="4" t="s">
        <v>1220</v>
      </c>
      <c r="G49" s="4" t="s">
        <v>1222</v>
      </c>
      <c r="H49" s="13" t="s">
        <v>2567</v>
      </c>
    </row>
    <row r="50" spans="1:8" ht="33.6" customHeight="1" x14ac:dyDescent="0.3">
      <c r="A50" s="4" t="s">
        <v>2366</v>
      </c>
      <c r="B50" s="12">
        <v>2</v>
      </c>
      <c r="C50" s="4" t="s">
        <v>773</v>
      </c>
      <c r="D50" s="4" t="s">
        <v>2565</v>
      </c>
      <c r="E50" s="4" t="s">
        <v>2617</v>
      </c>
      <c r="F50" s="4" t="s">
        <v>1118</v>
      </c>
      <c r="G50" s="4" t="s">
        <v>1120</v>
      </c>
      <c r="H50" s="13" t="s">
        <v>2567</v>
      </c>
    </row>
    <row r="51" spans="1:8" ht="33.6" customHeight="1" x14ac:dyDescent="0.3">
      <c r="A51" s="4" t="s">
        <v>2313</v>
      </c>
      <c r="B51" s="12">
        <v>2</v>
      </c>
      <c r="C51" s="4" t="s">
        <v>773</v>
      </c>
      <c r="D51" s="4" t="s">
        <v>2565</v>
      </c>
      <c r="E51" s="4" t="s">
        <v>2618</v>
      </c>
      <c r="F51" s="4" t="s">
        <v>796</v>
      </c>
      <c r="G51" s="4" t="s">
        <v>798</v>
      </c>
      <c r="H51" s="13" t="s">
        <v>2567</v>
      </c>
    </row>
    <row r="52" spans="1:8" ht="33.6" customHeight="1" x14ac:dyDescent="0.3">
      <c r="A52" s="4" t="s">
        <v>2385</v>
      </c>
      <c r="B52" s="12">
        <v>2</v>
      </c>
      <c r="C52" s="4" t="s">
        <v>773</v>
      </c>
      <c r="D52" s="4" t="s">
        <v>2565</v>
      </c>
      <c r="E52" s="4" t="s">
        <v>2619</v>
      </c>
      <c r="F52" s="4" t="s">
        <v>1232</v>
      </c>
      <c r="G52" s="4" t="s">
        <v>1234</v>
      </c>
      <c r="H52" s="13" t="s">
        <v>2567</v>
      </c>
    </row>
    <row r="53" spans="1:8" ht="33.6" customHeight="1" x14ac:dyDescent="0.3">
      <c r="A53" s="4" t="s">
        <v>2323</v>
      </c>
      <c r="B53" s="12">
        <v>2</v>
      </c>
      <c r="C53" s="4" t="s">
        <v>773</v>
      </c>
      <c r="D53" s="4" t="s">
        <v>2565</v>
      </c>
      <c r="E53" s="4" t="s">
        <v>2620</v>
      </c>
      <c r="F53" s="4" t="s">
        <v>856</v>
      </c>
      <c r="G53" s="4" t="s">
        <v>858</v>
      </c>
      <c r="H53" s="13" t="s">
        <v>2567</v>
      </c>
    </row>
    <row r="54" spans="1:8" ht="33.6" customHeight="1" x14ac:dyDescent="0.3">
      <c r="A54" s="4" t="s">
        <v>2363</v>
      </c>
      <c r="B54" s="12">
        <v>2</v>
      </c>
      <c r="C54" s="4" t="s">
        <v>773</v>
      </c>
      <c r="D54" s="4" t="s">
        <v>2565</v>
      </c>
      <c r="E54" s="4" t="s">
        <v>2621</v>
      </c>
      <c r="F54" s="4" t="s">
        <v>1100</v>
      </c>
      <c r="G54" s="4" t="s">
        <v>1102</v>
      </c>
      <c r="H54" s="13" t="s">
        <v>2567</v>
      </c>
    </row>
    <row r="55" spans="1:8" ht="33.6" customHeight="1" x14ac:dyDescent="0.3">
      <c r="A55" s="4" t="s">
        <v>2353</v>
      </c>
      <c r="B55" s="12">
        <v>2</v>
      </c>
      <c r="C55" s="4" t="s">
        <v>773</v>
      </c>
      <c r="D55" s="4" t="s">
        <v>2565</v>
      </c>
      <c r="E55" s="4" t="s">
        <v>2622</v>
      </c>
      <c r="F55" s="4" t="s">
        <v>1040</v>
      </c>
      <c r="G55" s="4" t="s">
        <v>1042</v>
      </c>
      <c r="H55" s="13" t="s">
        <v>2567</v>
      </c>
    </row>
    <row r="56" spans="1:8" ht="33.6" customHeight="1" x14ac:dyDescent="0.3">
      <c r="A56" s="4" t="s">
        <v>2382</v>
      </c>
      <c r="B56" s="12">
        <v>2</v>
      </c>
      <c r="C56" s="4" t="s">
        <v>773</v>
      </c>
      <c r="D56" s="4" t="s">
        <v>2565</v>
      </c>
      <c r="E56" s="4" t="s">
        <v>2623</v>
      </c>
      <c r="F56" s="4" t="s">
        <v>1214</v>
      </c>
      <c r="G56" s="4" t="s">
        <v>1216</v>
      </c>
      <c r="H56" s="13" t="s">
        <v>2567</v>
      </c>
    </row>
    <row r="57" spans="1:8" ht="33.6" customHeight="1" x14ac:dyDescent="0.3">
      <c r="A57" s="4" t="s">
        <v>2362</v>
      </c>
      <c r="B57" s="12">
        <v>2</v>
      </c>
      <c r="C57" s="4" t="s">
        <v>773</v>
      </c>
      <c r="D57" s="4" t="s">
        <v>2565</v>
      </c>
      <c r="E57" s="4" t="s">
        <v>2624</v>
      </c>
      <c r="F57" s="4" t="s">
        <v>1094</v>
      </c>
      <c r="G57" s="4" t="s">
        <v>1096</v>
      </c>
      <c r="H57" s="13" t="s">
        <v>2567</v>
      </c>
    </row>
    <row r="58" spans="1:8" ht="33.6" customHeight="1" x14ac:dyDescent="0.3">
      <c r="A58" s="4" t="s">
        <v>2329</v>
      </c>
      <c r="B58" s="12">
        <v>2</v>
      </c>
      <c r="C58" s="4" t="s">
        <v>773</v>
      </c>
      <c r="D58" s="4" t="s">
        <v>2565</v>
      </c>
      <c r="E58" s="4" t="s">
        <v>2625</v>
      </c>
      <c r="F58" s="4" t="s">
        <v>893</v>
      </c>
      <c r="G58" s="4" t="s">
        <v>895</v>
      </c>
      <c r="H58" s="13" t="s">
        <v>2567</v>
      </c>
    </row>
    <row r="59" spans="1:8" ht="33.6" customHeight="1" x14ac:dyDescent="0.3">
      <c r="A59" s="4" t="s">
        <v>2355</v>
      </c>
      <c r="B59" s="12">
        <v>2</v>
      </c>
      <c r="C59" s="4" t="s">
        <v>773</v>
      </c>
      <c r="D59" s="4" t="s">
        <v>2565</v>
      </c>
      <c r="E59" s="4" t="s">
        <v>2626</v>
      </c>
      <c r="F59" s="4" t="s">
        <v>1052</v>
      </c>
      <c r="G59" s="4" t="s">
        <v>1054</v>
      </c>
      <c r="H59" s="13" t="s">
        <v>2567</v>
      </c>
    </row>
    <row r="60" spans="1:8" ht="33.6" customHeight="1" x14ac:dyDescent="0.3">
      <c r="A60" s="4" t="s">
        <v>2351</v>
      </c>
      <c r="B60" s="12">
        <v>2</v>
      </c>
      <c r="C60" s="4" t="s">
        <v>773</v>
      </c>
      <c r="D60" s="4" t="s">
        <v>2565</v>
      </c>
      <c r="E60" s="4" t="s">
        <v>2627</v>
      </c>
      <c r="F60" s="4" t="s">
        <v>1028</v>
      </c>
      <c r="G60" s="4" t="s">
        <v>1030</v>
      </c>
      <c r="H60" s="13" t="s">
        <v>2567</v>
      </c>
    </row>
    <row r="61" spans="1:8" ht="33.6" customHeight="1" x14ac:dyDescent="0.3">
      <c r="A61" s="4" t="s">
        <v>2365</v>
      </c>
      <c r="B61" s="12">
        <v>2</v>
      </c>
      <c r="C61" s="4" t="s">
        <v>773</v>
      </c>
      <c r="D61" s="4" t="s">
        <v>2565</v>
      </c>
      <c r="E61" s="4" t="s">
        <v>2628</v>
      </c>
      <c r="F61" s="4" t="s">
        <v>1112</v>
      </c>
      <c r="G61" s="4" t="s">
        <v>1114</v>
      </c>
      <c r="H61" s="13" t="s">
        <v>2567</v>
      </c>
    </row>
    <row r="62" spans="1:8" ht="33.6" customHeight="1" x14ac:dyDescent="0.3">
      <c r="A62" s="4" t="s">
        <v>2375</v>
      </c>
      <c r="B62" s="12">
        <v>2</v>
      </c>
      <c r="C62" s="4" t="s">
        <v>773</v>
      </c>
      <c r="D62" s="4" t="s">
        <v>2565</v>
      </c>
      <c r="E62" s="4" t="s">
        <v>2629</v>
      </c>
      <c r="F62" s="4" t="s">
        <v>1172</v>
      </c>
      <c r="G62" s="4" t="s">
        <v>1174</v>
      </c>
      <c r="H62" s="13" t="s">
        <v>2567</v>
      </c>
    </row>
    <row r="63" spans="1:8" ht="33.6" customHeight="1" x14ac:dyDescent="0.3">
      <c r="A63" s="4" t="s">
        <v>2339</v>
      </c>
      <c r="B63" s="12">
        <v>2</v>
      </c>
      <c r="C63" s="4" t="s">
        <v>773</v>
      </c>
      <c r="D63" s="4" t="s">
        <v>2565</v>
      </c>
      <c r="E63" s="4" t="s">
        <v>2630</v>
      </c>
      <c r="F63" s="4" t="s">
        <v>955</v>
      </c>
      <c r="G63" s="4" t="s">
        <v>957</v>
      </c>
      <c r="H63" s="13" t="s">
        <v>2567</v>
      </c>
    </row>
    <row r="64" spans="1:8" ht="33.6" customHeight="1" x14ac:dyDescent="0.3">
      <c r="A64" s="4" t="s">
        <v>2345</v>
      </c>
      <c r="B64" s="12">
        <v>2</v>
      </c>
      <c r="C64" s="4" t="s">
        <v>773</v>
      </c>
      <c r="D64" s="4" t="s">
        <v>2565</v>
      </c>
      <c r="E64" s="4" t="s">
        <v>2631</v>
      </c>
      <c r="F64" s="4" t="s">
        <v>992</v>
      </c>
      <c r="G64" s="4" t="s">
        <v>994</v>
      </c>
      <c r="H64" s="13" t="s">
        <v>2567</v>
      </c>
    </row>
    <row r="65" spans="1:8" ht="33.6" customHeight="1" x14ac:dyDescent="0.3">
      <c r="A65" s="4" t="s">
        <v>2392</v>
      </c>
      <c r="B65" s="12">
        <v>2</v>
      </c>
      <c r="C65" s="4" t="s">
        <v>773</v>
      </c>
      <c r="D65" s="4" t="s">
        <v>2565</v>
      </c>
      <c r="E65" s="4" t="s">
        <v>2632</v>
      </c>
      <c r="F65" s="4" t="s">
        <v>1275</v>
      </c>
      <c r="G65" s="4" t="s">
        <v>1277</v>
      </c>
      <c r="H65" s="13" t="s">
        <v>2567</v>
      </c>
    </row>
    <row r="66" spans="1:8" ht="33.6" customHeight="1" x14ac:dyDescent="0.3">
      <c r="A66" s="4" t="s">
        <v>2317</v>
      </c>
      <c r="B66" s="12">
        <v>2</v>
      </c>
      <c r="C66" s="4" t="s">
        <v>773</v>
      </c>
      <c r="D66" s="4" t="s">
        <v>2565</v>
      </c>
      <c r="E66" s="4" t="s">
        <v>2633</v>
      </c>
      <c r="F66" s="4" t="s">
        <v>820</v>
      </c>
      <c r="G66" s="4" t="s">
        <v>822</v>
      </c>
      <c r="H66" s="13" t="s">
        <v>2567</v>
      </c>
    </row>
    <row r="67" spans="1:8" ht="33.6" customHeight="1" x14ac:dyDescent="0.3">
      <c r="A67" s="4" t="s">
        <v>2346</v>
      </c>
      <c r="B67" s="12">
        <v>2</v>
      </c>
      <c r="C67" s="4" t="s">
        <v>773</v>
      </c>
      <c r="D67" s="4" t="s">
        <v>2565</v>
      </c>
      <c r="E67" s="4" t="s">
        <v>2634</v>
      </c>
      <c r="F67" s="4" t="s">
        <v>998</v>
      </c>
      <c r="G67" s="4" t="s">
        <v>1000</v>
      </c>
      <c r="H67" s="13" t="s">
        <v>2567</v>
      </c>
    </row>
    <row r="68" spans="1:8" ht="33.6" customHeight="1" x14ac:dyDescent="0.3">
      <c r="A68" s="4" t="s">
        <v>2374</v>
      </c>
      <c r="B68" s="12">
        <v>2</v>
      </c>
      <c r="C68" s="4" t="s">
        <v>773</v>
      </c>
      <c r="D68" s="4" t="s">
        <v>2565</v>
      </c>
      <c r="E68" s="4" t="s">
        <v>2635</v>
      </c>
      <c r="F68" s="4" t="s">
        <v>1166</v>
      </c>
      <c r="G68" s="4" t="s">
        <v>1168</v>
      </c>
      <c r="H68" s="13" t="s">
        <v>2567</v>
      </c>
    </row>
    <row r="69" spans="1:8" ht="33.6" customHeight="1" x14ac:dyDescent="0.3">
      <c r="A69" s="4" t="s">
        <v>2321</v>
      </c>
      <c r="B69" s="12">
        <v>2</v>
      </c>
      <c r="C69" s="4" t="s">
        <v>773</v>
      </c>
      <c r="D69" s="4" t="s">
        <v>2565</v>
      </c>
      <c r="E69" s="4" t="s">
        <v>2636</v>
      </c>
      <c r="F69" s="4" t="s">
        <v>844</v>
      </c>
      <c r="G69" s="4" t="s">
        <v>846</v>
      </c>
      <c r="H69" s="13" t="s">
        <v>2567</v>
      </c>
    </row>
    <row r="70" spans="1:8" ht="33.6" customHeight="1" x14ac:dyDescent="0.3">
      <c r="A70" s="4" t="s">
        <v>2312</v>
      </c>
      <c r="B70" s="12">
        <v>2</v>
      </c>
      <c r="C70" s="4" t="s">
        <v>773</v>
      </c>
      <c r="D70" s="4" t="s">
        <v>2565</v>
      </c>
      <c r="E70" s="4" t="s">
        <v>2637</v>
      </c>
      <c r="F70" s="4" t="s">
        <v>790</v>
      </c>
      <c r="G70" s="4" t="s">
        <v>792</v>
      </c>
      <c r="H70" s="13" t="s">
        <v>2567</v>
      </c>
    </row>
    <row r="71" spans="1:8" ht="33.6" customHeight="1" x14ac:dyDescent="0.3">
      <c r="A71" s="4" t="s">
        <v>2319</v>
      </c>
      <c r="B71" s="12">
        <v>2</v>
      </c>
      <c r="C71" s="4" t="s">
        <v>773</v>
      </c>
      <c r="D71" s="4" t="s">
        <v>2565</v>
      </c>
      <c r="E71" s="4" t="s">
        <v>2638</v>
      </c>
      <c r="F71" s="4" t="s">
        <v>832</v>
      </c>
      <c r="G71" s="4" t="s">
        <v>834</v>
      </c>
      <c r="H71" s="13" t="s">
        <v>2567</v>
      </c>
    </row>
    <row r="72" spans="1:8" ht="33.6" customHeight="1" x14ac:dyDescent="0.3">
      <c r="A72" s="4" t="s">
        <v>2327</v>
      </c>
      <c r="B72" s="12">
        <v>2</v>
      </c>
      <c r="C72" s="4" t="s">
        <v>773</v>
      </c>
      <c r="D72" s="4" t="s">
        <v>2565</v>
      </c>
      <c r="E72" s="4" t="s">
        <v>2639</v>
      </c>
      <c r="F72" s="4" t="s">
        <v>880</v>
      </c>
      <c r="G72" s="4" t="s">
        <v>882</v>
      </c>
      <c r="H72" s="13" t="s">
        <v>2567</v>
      </c>
    </row>
    <row r="73" spans="1:8" ht="33.6" customHeight="1" x14ac:dyDescent="0.3">
      <c r="A73" s="4" t="s">
        <v>2337</v>
      </c>
      <c r="B73" s="12">
        <v>2</v>
      </c>
      <c r="C73" s="4" t="s">
        <v>773</v>
      </c>
      <c r="D73" s="4" t="s">
        <v>2565</v>
      </c>
      <c r="E73" s="4" t="s">
        <v>2640</v>
      </c>
      <c r="F73" s="4" t="s">
        <v>942</v>
      </c>
      <c r="G73" s="4" t="s">
        <v>944</v>
      </c>
      <c r="H73" s="13" t="s">
        <v>2567</v>
      </c>
    </row>
    <row r="74" spans="1:8" ht="33.6" customHeight="1" x14ac:dyDescent="0.3">
      <c r="A74" s="4" t="s">
        <v>2310</v>
      </c>
      <c r="B74" s="12">
        <v>2</v>
      </c>
      <c r="C74" s="4" t="s">
        <v>773</v>
      </c>
      <c r="D74" s="4" t="s">
        <v>2565</v>
      </c>
      <c r="E74" s="4" t="s">
        <v>2641</v>
      </c>
      <c r="F74" s="4" t="s">
        <v>778</v>
      </c>
      <c r="G74" s="4" t="s">
        <v>780</v>
      </c>
      <c r="H74" s="13" t="s">
        <v>2567</v>
      </c>
    </row>
    <row r="75" spans="1:8" ht="33.6" customHeight="1" x14ac:dyDescent="0.3">
      <c r="A75" s="4" t="s">
        <v>2358</v>
      </c>
      <c r="B75" s="12">
        <v>2</v>
      </c>
      <c r="C75" s="4" t="s">
        <v>773</v>
      </c>
      <c r="D75" s="4" t="s">
        <v>2565</v>
      </c>
      <c r="E75" s="4" t="s">
        <v>2642</v>
      </c>
      <c r="F75" s="4" t="s">
        <v>1070</v>
      </c>
      <c r="G75" s="4" t="s">
        <v>1072</v>
      </c>
      <c r="H75" s="13" t="s">
        <v>2567</v>
      </c>
    </row>
    <row r="76" spans="1:8" ht="33.6" customHeight="1" x14ac:dyDescent="0.3">
      <c r="A76" s="4" t="s">
        <v>2316</v>
      </c>
      <c r="B76" s="12">
        <v>2</v>
      </c>
      <c r="C76" s="4" t="s">
        <v>773</v>
      </c>
      <c r="D76" s="4" t="s">
        <v>2565</v>
      </c>
      <c r="E76" s="4" t="s">
        <v>2643</v>
      </c>
      <c r="F76" s="4" t="s">
        <v>814</v>
      </c>
      <c r="G76" s="4" t="s">
        <v>816</v>
      </c>
      <c r="H76" s="13" t="s">
        <v>2567</v>
      </c>
    </row>
    <row r="77" spans="1:8" ht="33.6" customHeight="1" x14ac:dyDescent="0.3">
      <c r="A77" s="4" t="s">
        <v>2347</v>
      </c>
      <c r="B77" s="12">
        <v>2</v>
      </c>
      <c r="C77" s="4" t="s">
        <v>773</v>
      </c>
      <c r="D77" s="4" t="s">
        <v>2565</v>
      </c>
      <c r="E77" s="4" t="s">
        <v>2644</v>
      </c>
      <c r="F77" s="4" t="s">
        <v>1004</v>
      </c>
      <c r="G77" s="4" t="s">
        <v>1006</v>
      </c>
      <c r="H77" s="13" t="s">
        <v>2567</v>
      </c>
    </row>
    <row r="78" spans="1:8" ht="33.6" customHeight="1" x14ac:dyDescent="0.3">
      <c r="A78" s="4" t="s">
        <v>2328</v>
      </c>
      <c r="B78" s="12">
        <v>2</v>
      </c>
      <c r="C78" s="4" t="s">
        <v>773</v>
      </c>
      <c r="D78" s="4" t="s">
        <v>2565</v>
      </c>
      <c r="E78" s="4" t="s">
        <v>2645</v>
      </c>
      <c r="F78" s="4" t="s">
        <v>887</v>
      </c>
      <c r="G78" s="4" t="s">
        <v>889</v>
      </c>
      <c r="H78" s="13" t="s">
        <v>2567</v>
      </c>
    </row>
    <row r="79" spans="1:8" ht="33.6" customHeight="1" x14ac:dyDescent="0.3">
      <c r="A79" s="4" t="s">
        <v>2343</v>
      </c>
      <c r="B79" s="12">
        <v>2</v>
      </c>
      <c r="C79" s="4" t="s">
        <v>773</v>
      </c>
      <c r="D79" s="4" t="s">
        <v>2565</v>
      </c>
      <c r="E79" s="4" t="s">
        <v>2646</v>
      </c>
      <c r="F79" s="4" t="s">
        <v>980</v>
      </c>
      <c r="G79" s="4" t="s">
        <v>982</v>
      </c>
      <c r="H79" s="13" t="s">
        <v>2567</v>
      </c>
    </row>
    <row r="80" spans="1:8" ht="33.6" customHeight="1" x14ac:dyDescent="0.3">
      <c r="A80" s="4" t="s">
        <v>2344</v>
      </c>
      <c r="B80" s="12">
        <v>2</v>
      </c>
      <c r="C80" s="4" t="s">
        <v>773</v>
      </c>
      <c r="D80" s="4" t="s">
        <v>2565</v>
      </c>
      <c r="E80" s="4" t="s">
        <v>2647</v>
      </c>
      <c r="F80" s="4" t="s">
        <v>986</v>
      </c>
      <c r="G80" s="4" t="s">
        <v>988</v>
      </c>
      <c r="H80" s="13" t="s">
        <v>2567</v>
      </c>
    </row>
    <row r="81" spans="1:8" ht="33.6" customHeight="1" x14ac:dyDescent="0.3">
      <c r="A81" s="4" t="s">
        <v>2325</v>
      </c>
      <c r="B81" s="12">
        <v>2</v>
      </c>
      <c r="C81" s="4" t="s">
        <v>773</v>
      </c>
      <c r="D81" s="4" t="s">
        <v>2565</v>
      </c>
      <c r="E81" s="4" t="s">
        <v>2648</v>
      </c>
      <c r="F81" s="4" t="s">
        <v>868</v>
      </c>
      <c r="G81" s="4" t="s">
        <v>870</v>
      </c>
      <c r="H81" s="13" t="s">
        <v>2567</v>
      </c>
    </row>
    <row r="82" spans="1:8" ht="33.6" customHeight="1" x14ac:dyDescent="0.3">
      <c r="A82" s="4" t="s">
        <v>2357</v>
      </c>
      <c r="B82" s="12">
        <v>2</v>
      </c>
      <c r="C82" s="4" t="s">
        <v>773</v>
      </c>
      <c r="D82" s="4" t="s">
        <v>2565</v>
      </c>
      <c r="E82" s="4" t="s">
        <v>2649</v>
      </c>
      <c r="F82" s="4" t="s">
        <v>1064</v>
      </c>
      <c r="G82" s="4" t="s">
        <v>1066</v>
      </c>
      <c r="H82" s="13" t="s">
        <v>2567</v>
      </c>
    </row>
    <row r="83" spans="1:8" ht="33.6" customHeight="1" x14ac:dyDescent="0.3">
      <c r="A83" s="4" t="s">
        <v>2349</v>
      </c>
      <c r="B83" s="12">
        <v>2</v>
      </c>
      <c r="C83" s="4" t="s">
        <v>773</v>
      </c>
      <c r="D83" s="4" t="s">
        <v>2565</v>
      </c>
      <c r="E83" s="4" t="s">
        <v>2650</v>
      </c>
      <c r="F83" s="4" t="s">
        <v>1016</v>
      </c>
      <c r="G83" s="4" t="s">
        <v>1018</v>
      </c>
      <c r="H83" s="13" t="s">
        <v>2567</v>
      </c>
    </row>
    <row r="84" spans="1:8" ht="33.6" customHeight="1" x14ac:dyDescent="0.3">
      <c r="A84" s="4" t="s">
        <v>2412</v>
      </c>
      <c r="B84" s="12">
        <v>2</v>
      </c>
      <c r="C84" s="4" t="s">
        <v>773</v>
      </c>
      <c r="D84" s="4" t="s">
        <v>2565</v>
      </c>
      <c r="E84" s="4" t="s">
        <v>2651</v>
      </c>
      <c r="F84" s="4" t="s">
        <v>1394</v>
      </c>
      <c r="G84" s="4" t="s">
        <v>1396</v>
      </c>
      <c r="H84" s="13" t="s">
        <v>2567</v>
      </c>
    </row>
    <row r="85" spans="1:8" ht="33.6" customHeight="1" x14ac:dyDescent="0.3">
      <c r="A85" s="4" t="s">
        <v>2336</v>
      </c>
      <c r="B85" s="12">
        <v>2</v>
      </c>
      <c r="C85" s="4" t="s">
        <v>773</v>
      </c>
      <c r="D85" s="4" t="s">
        <v>2565</v>
      </c>
      <c r="E85" s="4" t="s">
        <v>2652</v>
      </c>
      <c r="F85" s="4" t="s">
        <v>936</v>
      </c>
      <c r="G85" s="4" t="s">
        <v>938</v>
      </c>
      <c r="H85" s="13" t="s">
        <v>2567</v>
      </c>
    </row>
    <row r="86" spans="1:8" ht="33.6" customHeight="1" x14ac:dyDescent="0.3">
      <c r="A86" s="4" t="s">
        <v>2333</v>
      </c>
      <c r="B86" s="12">
        <v>2</v>
      </c>
      <c r="C86" s="4" t="s">
        <v>773</v>
      </c>
      <c r="D86" s="4" t="s">
        <v>2565</v>
      </c>
      <c r="E86" s="4" t="s">
        <v>2653</v>
      </c>
      <c r="F86" s="4" t="s">
        <v>918</v>
      </c>
      <c r="G86" s="4" t="s">
        <v>920</v>
      </c>
      <c r="H86" s="13" t="s">
        <v>2567</v>
      </c>
    </row>
    <row r="87" spans="1:8" ht="33.6" customHeight="1" x14ac:dyDescent="0.3">
      <c r="A87" s="4" t="s">
        <v>2379</v>
      </c>
      <c r="B87" s="12">
        <v>2</v>
      </c>
      <c r="C87" s="4" t="s">
        <v>773</v>
      </c>
      <c r="D87" s="4" t="s">
        <v>2565</v>
      </c>
      <c r="E87" s="4" t="s">
        <v>2654</v>
      </c>
      <c r="F87" s="4" t="s">
        <v>1196</v>
      </c>
      <c r="G87" s="4" t="s">
        <v>1198</v>
      </c>
      <c r="H87" s="13" t="s">
        <v>2567</v>
      </c>
    </row>
    <row r="88" spans="1:8" ht="33.6" customHeight="1" x14ac:dyDescent="0.3">
      <c r="A88" s="4" t="s">
        <v>2318</v>
      </c>
      <c r="B88" s="12">
        <v>2</v>
      </c>
      <c r="C88" s="4" t="s">
        <v>773</v>
      </c>
      <c r="D88" s="4" t="s">
        <v>2565</v>
      </c>
      <c r="E88" s="4" t="s">
        <v>2655</v>
      </c>
      <c r="F88" s="4" t="s">
        <v>826</v>
      </c>
      <c r="G88" s="4" t="s">
        <v>828</v>
      </c>
      <c r="H88" s="13" t="s">
        <v>2567</v>
      </c>
    </row>
    <row r="89" spans="1:8" ht="33.6" customHeight="1" x14ac:dyDescent="0.3">
      <c r="A89" s="4" t="s">
        <v>2335</v>
      </c>
      <c r="B89" s="12">
        <v>2</v>
      </c>
      <c r="C89" s="4" t="s">
        <v>773</v>
      </c>
      <c r="D89" s="4" t="s">
        <v>2565</v>
      </c>
      <c r="E89" s="4" t="s">
        <v>2656</v>
      </c>
      <c r="F89" s="4" t="s">
        <v>930</v>
      </c>
      <c r="G89" s="4" t="s">
        <v>932</v>
      </c>
      <c r="H89" s="13" t="s">
        <v>2567</v>
      </c>
    </row>
    <row r="90" spans="1:8" ht="33.6" customHeight="1" x14ac:dyDescent="0.3">
      <c r="A90" s="4" t="s">
        <v>2315</v>
      </c>
      <c r="B90" s="12">
        <v>2</v>
      </c>
      <c r="C90" s="4" t="s">
        <v>773</v>
      </c>
      <c r="D90" s="4" t="s">
        <v>2565</v>
      </c>
      <c r="E90" s="4" t="s">
        <v>2657</v>
      </c>
      <c r="F90" s="4" t="s">
        <v>808</v>
      </c>
      <c r="G90" s="4" t="s">
        <v>810</v>
      </c>
      <c r="H90" s="13" t="s">
        <v>2567</v>
      </c>
    </row>
    <row r="91" spans="1:8" ht="33.6" customHeight="1" x14ac:dyDescent="0.3">
      <c r="A91" s="4" t="s">
        <v>2377</v>
      </c>
      <c r="B91" s="12">
        <v>2</v>
      </c>
      <c r="C91" s="4" t="s">
        <v>773</v>
      </c>
      <c r="D91" s="4" t="s">
        <v>2565</v>
      </c>
      <c r="E91" s="4" t="s">
        <v>2658</v>
      </c>
      <c r="F91" s="4" t="s">
        <v>1184</v>
      </c>
      <c r="G91" s="4" t="s">
        <v>1186</v>
      </c>
      <c r="H91" s="13" t="s">
        <v>2567</v>
      </c>
    </row>
    <row r="92" spans="1:8" ht="33.6" customHeight="1" x14ac:dyDescent="0.3">
      <c r="A92" s="4" t="s">
        <v>2334</v>
      </c>
      <c r="B92" s="12">
        <v>2</v>
      </c>
      <c r="C92" s="4" t="s">
        <v>773</v>
      </c>
      <c r="D92" s="4" t="s">
        <v>2565</v>
      </c>
      <c r="E92" s="4" t="s">
        <v>2659</v>
      </c>
      <c r="F92" s="4" t="s">
        <v>924</v>
      </c>
      <c r="G92" s="4" t="s">
        <v>926</v>
      </c>
      <c r="H92" s="13" t="s">
        <v>2567</v>
      </c>
    </row>
    <row r="93" spans="1:8" ht="33.6" customHeight="1" x14ac:dyDescent="0.3">
      <c r="A93" s="4" t="s">
        <v>2322</v>
      </c>
      <c r="B93" s="12">
        <v>2</v>
      </c>
      <c r="C93" s="4" t="s">
        <v>773</v>
      </c>
      <c r="D93" s="4" t="s">
        <v>2565</v>
      </c>
      <c r="E93" s="4" t="s">
        <v>2660</v>
      </c>
      <c r="F93" s="4" t="s">
        <v>850</v>
      </c>
      <c r="G93" s="4" t="s">
        <v>852</v>
      </c>
      <c r="H93" s="13" t="s">
        <v>2567</v>
      </c>
    </row>
    <row r="94" spans="1:8" ht="33.6" customHeight="1" x14ac:dyDescent="0.3">
      <c r="A94" s="4" t="s">
        <v>2369</v>
      </c>
      <c r="B94" s="12">
        <v>2</v>
      </c>
      <c r="C94" s="4" t="s">
        <v>773</v>
      </c>
      <c r="D94" s="4" t="s">
        <v>2565</v>
      </c>
      <c r="E94" s="4" t="s">
        <v>2661</v>
      </c>
      <c r="F94" s="4" t="s">
        <v>1136</v>
      </c>
      <c r="G94" s="4" t="s">
        <v>1138</v>
      </c>
      <c r="H94" s="13" t="s">
        <v>2567</v>
      </c>
    </row>
    <row r="95" spans="1:8" ht="33.6" customHeight="1" x14ac:dyDescent="0.3">
      <c r="A95" s="4" t="s">
        <v>2314</v>
      </c>
      <c r="B95" s="12">
        <v>2</v>
      </c>
      <c r="C95" s="4" t="s">
        <v>773</v>
      </c>
      <c r="D95" s="4" t="s">
        <v>2565</v>
      </c>
      <c r="E95" s="4" t="s">
        <v>2662</v>
      </c>
      <c r="F95" s="4" t="s">
        <v>802</v>
      </c>
      <c r="G95" s="4" t="s">
        <v>804</v>
      </c>
      <c r="H95" s="13" t="s">
        <v>2567</v>
      </c>
    </row>
    <row r="96" spans="1:8" ht="33.6" customHeight="1" x14ac:dyDescent="0.3">
      <c r="A96" s="4" t="s">
        <v>2352</v>
      </c>
      <c r="B96" s="12">
        <v>2</v>
      </c>
      <c r="C96" s="4" t="s">
        <v>773</v>
      </c>
      <c r="D96" s="4" t="s">
        <v>2565</v>
      </c>
      <c r="E96" s="4" t="s">
        <v>2663</v>
      </c>
      <c r="F96" s="4" t="s">
        <v>1034</v>
      </c>
      <c r="G96" s="4" t="s">
        <v>1036</v>
      </c>
      <c r="H96" s="13" t="s">
        <v>2567</v>
      </c>
    </row>
    <row r="97" spans="1:8" ht="33.6" customHeight="1" x14ac:dyDescent="0.3">
      <c r="A97" s="4" t="s">
        <v>2332</v>
      </c>
      <c r="B97" s="12">
        <v>2</v>
      </c>
      <c r="C97" s="4" t="s">
        <v>773</v>
      </c>
      <c r="D97" s="4" t="s">
        <v>2565</v>
      </c>
      <c r="E97" s="4" t="s">
        <v>2664</v>
      </c>
      <c r="F97" s="4" t="s">
        <v>912</v>
      </c>
      <c r="G97" s="4" t="s">
        <v>914</v>
      </c>
      <c r="H97" s="13" t="s">
        <v>2567</v>
      </c>
    </row>
    <row r="98" spans="1:8" ht="33.6" customHeight="1" x14ac:dyDescent="0.3">
      <c r="A98" s="4" t="s">
        <v>2342</v>
      </c>
      <c r="B98" s="12">
        <v>2</v>
      </c>
      <c r="C98" s="4" t="s">
        <v>773</v>
      </c>
      <c r="D98" s="4" t="s">
        <v>2565</v>
      </c>
      <c r="E98" s="4" t="s">
        <v>2665</v>
      </c>
      <c r="F98" s="4" t="s">
        <v>973</v>
      </c>
      <c r="G98" s="4" t="s">
        <v>975</v>
      </c>
      <c r="H98" s="13" t="s">
        <v>2567</v>
      </c>
    </row>
    <row r="99" spans="1:8" ht="33.6" customHeight="1" x14ac:dyDescent="0.3">
      <c r="A99" s="4" t="s">
        <v>2348</v>
      </c>
      <c r="B99" s="12">
        <v>2</v>
      </c>
      <c r="C99" s="4" t="s">
        <v>773</v>
      </c>
      <c r="D99" s="4" t="s">
        <v>2565</v>
      </c>
      <c r="E99" s="4" t="s">
        <v>2666</v>
      </c>
      <c r="F99" s="4" t="s">
        <v>1010</v>
      </c>
      <c r="G99" s="4" t="s">
        <v>1012</v>
      </c>
      <c r="H99" s="13" t="s">
        <v>2567</v>
      </c>
    </row>
    <row r="100" spans="1:8" ht="33.6" customHeight="1" x14ac:dyDescent="0.3">
      <c r="A100" s="4" t="s">
        <v>2311</v>
      </c>
      <c r="B100" s="12">
        <v>2</v>
      </c>
      <c r="C100" s="4" t="s">
        <v>773</v>
      </c>
      <c r="D100" s="4" t="s">
        <v>2565</v>
      </c>
      <c r="E100" s="4" t="s">
        <v>2667</v>
      </c>
      <c r="F100" s="4" t="s">
        <v>784</v>
      </c>
      <c r="G100" s="4" t="s">
        <v>786</v>
      </c>
      <c r="H100" s="13" t="s">
        <v>2567</v>
      </c>
    </row>
    <row r="101" spans="1:8" ht="33.6" customHeight="1" x14ac:dyDescent="0.3">
      <c r="A101" s="4" t="s">
        <v>2387</v>
      </c>
      <c r="B101" s="12">
        <v>2</v>
      </c>
      <c r="C101" s="4" t="s">
        <v>773</v>
      </c>
      <c r="D101" s="4" t="s">
        <v>2565</v>
      </c>
      <c r="E101" s="4" t="s">
        <v>2668</v>
      </c>
      <c r="F101" s="4" t="s">
        <v>1244</v>
      </c>
      <c r="G101" s="4" t="s">
        <v>1246</v>
      </c>
      <c r="H101" s="13" t="s">
        <v>2567</v>
      </c>
    </row>
    <row r="102" spans="1:8" ht="33.6" customHeight="1" x14ac:dyDescent="0.3">
      <c r="A102" s="4" t="s">
        <v>2309</v>
      </c>
      <c r="B102" s="12">
        <v>2</v>
      </c>
      <c r="C102" s="4" t="s">
        <v>773</v>
      </c>
      <c r="D102" s="4" t="s">
        <v>2565</v>
      </c>
      <c r="E102" s="4" t="s">
        <v>2669</v>
      </c>
      <c r="F102" s="4" t="s">
        <v>771</v>
      </c>
      <c r="G102" s="4" t="s">
        <v>774</v>
      </c>
      <c r="H102" s="13" t="s">
        <v>2567</v>
      </c>
    </row>
    <row r="103" spans="1:8" ht="33.6" customHeight="1" x14ac:dyDescent="0.3">
      <c r="A103" s="4" t="s">
        <v>2338</v>
      </c>
      <c r="B103" s="12">
        <v>2</v>
      </c>
      <c r="C103" s="4" t="s">
        <v>773</v>
      </c>
      <c r="D103" s="4" t="s">
        <v>2565</v>
      </c>
      <c r="E103" s="4" t="s">
        <v>2670</v>
      </c>
      <c r="F103" s="4" t="s">
        <v>948</v>
      </c>
      <c r="G103" s="4" t="s">
        <v>950</v>
      </c>
      <c r="H103" s="13" t="s">
        <v>2567</v>
      </c>
    </row>
    <row r="104" spans="1:8" ht="33.6" customHeight="1" x14ac:dyDescent="0.3">
      <c r="A104" s="4" t="s">
        <v>2320</v>
      </c>
      <c r="B104" s="12">
        <v>2</v>
      </c>
      <c r="C104" s="4" t="s">
        <v>773</v>
      </c>
      <c r="D104" s="4" t="s">
        <v>2565</v>
      </c>
      <c r="E104" s="4" t="s">
        <v>2671</v>
      </c>
      <c r="F104" s="4" t="s">
        <v>838</v>
      </c>
      <c r="G104" s="4" t="s">
        <v>840</v>
      </c>
      <c r="H104" s="13" t="s">
        <v>2567</v>
      </c>
    </row>
    <row r="105" spans="1:8" ht="33.6" customHeight="1" x14ac:dyDescent="0.3">
      <c r="A105" s="4" t="s">
        <v>2402</v>
      </c>
      <c r="B105" s="12">
        <v>2</v>
      </c>
      <c r="C105" s="4" t="s">
        <v>773</v>
      </c>
      <c r="D105" s="4" t="s">
        <v>2565</v>
      </c>
      <c r="E105" s="4" t="s">
        <v>2672</v>
      </c>
      <c r="F105" s="4" t="s">
        <v>1333</v>
      </c>
      <c r="G105" s="4" t="s">
        <v>1335</v>
      </c>
      <c r="H105" s="13" t="s">
        <v>2567</v>
      </c>
    </row>
    <row r="106" spans="1:8" ht="33.6" customHeight="1" x14ac:dyDescent="0.3">
      <c r="A106" s="4" t="s">
        <v>2330</v>
      </c>
      <c r="B106" s="12">
        <v>2</v>
      </c>
      <c r="C106" s="4" t="s">
        <v>773</v>
      </c>
      <c r="D106" s="4" t="s">
        <v>2565</v>
      </c>
      <c r="E106" s="4" t="s">
        <v>2673</v>
      </c>
      <c r="F106" s="4" t="s">
        <v>900</v>
      </c>
      <c r="G106" s="4" t="s">
        <v>902</v>
      </c>
      <c r="H106" s="13" t="s">
        <v>2567</v>
      </c>
    </row>
    <row r="107" spans="1:8" ht="33.6" customHeight="1" x14ac:dyDescent="0.3">
      <c r="A107" s="4" t="s">
        <v>2360</v>
      </c>
      <c r="B107" s="12">
        <v>2</v>
      </c>
      <c r="C107" s="4" t="s">
        <v>773</v>
      </c>
      <c r="D107" s="4" t="s">
        <v>2565</v>
      </c>
      <c r="E107" s="4" t="s">
        <v>2674</v>
      </c>
      <c r="F107" s="4" t="s">
        <v>1082</v>
      </c>
      <c r="G107" s="4" t="s">
        <v>1084</v>
      </c>
      <c r="H107" s="13" t="s">
        <v>2567</v>
      </c>
    </row>
    <row r="108" spans="1:8" ht="33.6" customHeight="1" x14ac:dyDescent="0.3">
      <c r="A108" s="4" t="s">
        <v>2371</v>
      </c>
      <c r="B108" s="12">
        <v>2</v>
      </c>
      <c r="C108" s="4" t="s">
        <v>773</v>
      </c>
      <c r="D108" s="4" t="s">
        <v>2565</v>
      </c>
      <c r="E108" s="4" t="s">
        <v>2675</v>
      </c>
      <c r="F108" s="4" t="s">
        <v>1148</v>
      </c>
      <c r="G108" s="4" t="s">
        <v>1150</v>
      </c>
      <c r="H108" s="13" t="s">
        <v>2567</v>
      </c>
    </row>
    <row r="109" spans="1:8" ht="33.6" customHeight="1" x14ac:dyDescent="0.3">
      <c r="A109" s="4" t="s">
        <v>2340</v>
      </c>
      <c r="B109" s="12">
        <v>2</v>
      </c>
      <c r="C109" s="4" t="s">
        <v>773</v>
      </c>
      <c r="D109" s="4" t="s">
        <v>2565</v>
      </c>
      <c r="E109" s="4" t="s">
        <v>2676</v>
      </c>
      <c r="F109" s="4" t="s">
        <v>961</v>
      </c>
      <c r="G109" s="4" t="s">
        <v>963</v>
      </c>
      <c r="H109" s="13" t="s">
        <v>2567</v>
      </c>
    </row>
    <row r="110" spans="1:8" ht="33.6" customHeight="1" x14ac:dyDescent="0.3">
      <c r="A110" s="4" t="s">
        <v>2372</v>
      </c>
      <c r="B110" s="12">
        <v>2</v>
      </c>
      <c r="C110" s="4" t="s">
        <v>773</v>
      </c>
      <c r="D110" s="4" t="s">
        <v>2565</v>
      </c>
      <c r="E110" s="4" t="s">
        <v>2677</v>
      </c>
      <c r="F110" s="4" t="s">
        <v>1154</v>
      </c>
      <c r="G110" s="4" t="s">
        <v>1156</v>
      </c>
      <c r="H110" s="13" t="s">
        <v>2567</v>
      </c>
    </row>
    <row r="111" spans="1:8" ht="33.6" customHeight="1" x14ac:dyDescent="0.3">
      <c r="A111" s="4" t="s">
        <v>2418</v>
      </c>
      <c r="B111" s="12">
        <v>2</v>
      </c>
      <c r="C111" s="4" t="s">
        <v>773</v>
      </c>
      <c r="D111" s="4" t="s">
        <v>2565</v>
      </c>
      <c r="E111" s="4" t="s">
        <v>2678</v>
      </c>
      <c r="F111" s="4" t="s">
        <v>1430</v>
      </c>
      <c r="G111" s="4" t="s">
        <v>207</v>
      </c>
      <c r="H111" s="13" t="s">
        <v>2567</v>
      </c>
    </row>
    <row r="112" spans="1:8" ht="33.6" customHeight="1" x14ac:dyDescent="0.3">
      <c r="A112" s="4" t="s">
        <v>2401</v>
      </c>
      <c r="B112" s="12">
        <v>2</v>
      </c>
      <c r="C112" s="4" t="s">
        <v>773</v>
      </c>
      <c r="D112" s="4" t="s">
        <v>2565</v>
      </c>
      <c r="E112" s="4" t="s">
        <v>2679</v>
      </c>
      <c r="F112" s="4" t="s">
        <v>1329</v>
      </c>
      <c r="G112" s="4" t="s">
        <v>207</v>
      </c>
      <c r="H112" s="13" t="s">
        <v>2567</v>
      </c>
    </row>
    <row r="113" spans="1:8" ht="33.6" customHeight="1" x14ac:dyDescent="0.3">
      <c r="A113" s="4" t="s">
        <v>2456</v>
      </c>
      <c r="B113" s="12">
        <v>1</v>
      </c>
      <c r="C113" s="4" t="s">
        <v>1494</v>
      </c>
      <c r="D113" s="4" t="s">
        <v>18</v>
      </c>
      <c r="E113" s="4" t="s">
        <v>1695</v>
      </c>
      <c r="F113" s="4" t="s">
        <v>1696</v>
      </c>
      <c r="G113" s="4" t="s">
        <v>1698</v>
      </c>
      <c r="H113" s="7" t="s">
        <v>2680</v>
      </c>
    </row>
    <row r="114" spans="1:8" ht="33.6" customHeight="1" x14ac:dyDescent="0.3">
      <c r="A114" s="4" t="s">
        <v>2448</v>
      </c>
      <c r="B114" s="12">
        <v>1</v>
      </c>
      <c r="C114" s="4" t="s">
        <v>1494</v>
      </c>
      <c r="D114" s="4" t="s">
        <v>18</v>
      </c>
      <c r="E114" s="4" t="s">
        <v>1633</v>
      </c>
      <c r="F114" s="4" t="s">
        <v>1634</v>
      </c>
      <c r="G114" s="4" t="s">
        <v>1636</v>
      </c>
      <c r="H114" s="7" t="s">
        <v>2680</v>
      </c>
    </row>
    <row r="115" spans="1:8" ht="33.6" customHeight="1" x14ac:dyDescent="0.3">
      <c r="A115" s="4" t="s">
        <v>2489</v>
      </c>
      <c r="B115" s="12">
        <v>1</v>
      </c>
      <c r="C115" s="4" t="s">
        <v>1494</v>
      </c>
      <c r="D115" s="4" t="s">
        <v>18</v>
      </c>
      <c r="E115" s="4" t="s">
        <v>1927</v>
      </c>
      <c r="F115" s="4" t="s">
        <v>1928</v>
      </c>
      <c r="G115" s="4" t="s">
        <v>1930</v>
      </c>
      <c r="H115" s="7" t="s">
        <v>2680</v>
      </c>
    </row>
    <row r="116" spans="1:8" ht="33.6" customHeight="1" x14ac:dyDescent="0.3">
      <c r="A116" s="4" t="s">
        <v>2472</v>
      </c>
      <c r="B116" s="12">
        <v>1</v>
      </c>
      <c r="C116" s="4" t="s">
        <v>1494</v>
      </c>
      <c r="D116" s="4" t="s">
        <v>18</v>
      </c>
      <c r="E116" s="4" t="s">
        <v>1799</v>
      </c>
      <c r="F116" s="4" t="s">
        <v>1800</v>
      </c>
      <c r="G116" s="4" t="s">
        <v>1802</v>
      </c>
      <c r="H116" s="7" t="s">
        <v>2680</v>
      </c>
    </row>
    <row r="117" spans="1:8" ht="33.6" customHeight="1" x14ac:dyDescent="0.3">
      <c r="A117" s="4" t="s">
        <v>2463</v>
      </c>
      <c r="B117" s="12">
        <v>1</v>
      </c>
      <c r="C117" s="4" t="s">
        <v>1494</v>
      </c>
      <c r="D117" s="4" t="s">
        <v>18</v>
      </c>
      <c r="E117" s="4" t="s">
        <v>1731</v>
      </c>
      <c r="F117" s="4" t="s">
        <v>1732</v>
      </c>
      <c r="G117" s="4" t="s">
        <v>1734</v>
      </c>
      <c r="H117" s="7" t="s">
        <v>2680</v>
      </c>
    </row>
    <row r="118" spans="1:8" ht="33.6" customHeight="1" x14ac:dyDescent="0.3">
      <c r="A118" s="4" t="s">
        <v>2474</v>
      </c>
      <c r="B118" s="12">
        <v>1</v>
      </c>
      <c r="C118" s="4" t="s">
        <v>1494</v>
      </c>
      <c r="D118" s="4" t="s">
        <v>18</v>
      </c>
      <c r="E118" s="4" t="s">
        <v>1820</v>
      </c>
      <c r="F118" s="4" t="s">
        <v>1821</v>
      </c>
      <c r="G118" s="4" t="s">
        <v>1823</v>
      </c>
      <c r="H118" s="7" t="s">
        <v>2680</v>
      </c>
    </row>
    <row r="119" spans="1:8" ht="33.6" customHeight="1" x14ac:dyDescent="0.3">
      <c r="A119" s="4" t="s">
        <v>2432</v>
      </c>
      <c r="B119" s="12">
        <v>1</v>
      </c>
      <c r="C119" s="4" t="s">
        <v>1494</v>
      </c>
      <c r="D119" s="4" t="s">
        <v>18</v>
      </c>
      <c r="E119" s="4" t="s">
        <v>1514</v>
      </c>
      <c r="F119" s="4" t="s">
        <v>1515</v>
      </c>
      <c r="G119" s="4" t="s">
        <v>1517</v>
      </c>
      <c r="H119" s="7" t="s">
        <v>2680</v>
      </c>
    </row>
    <row r="120" spans="1:8" ht="33.6" customHeight="1" x14ac:dyDescent="0.3">
      <c r="A120" s="4" t="s">
        <v>2508</v>
      </c>
      <c r="B120" s="12">
        <v>1</v>
      </c>
      <c r="C120" s="4" t="s">
        <v>1494</v>
      </c>
      <c r="D120" s="4" t="s">
        <v>1938</v>
      </c>
      <c r="E120" s="4" t="s">
        <v>2136</v>
      </c>
      <c r="F120" s="4" t="s">
        <v>2137</v>
      </c>
      <c r="G120" s="4" t="s">
        <v>2139</v>
      </c>
      <c r="H120" s="7" t="s">
        <v>2680</v>
      </c>
    </row>
    <row r="121" spans="1:8" ht="33.6" customHeight="1" x14ac:dyDescent="0.3">
      <c r="A121" s="4" t="s">
        <v>2511</v>
      </c>
      <c r="B121" s="12">
        <v>1</v>
      </c>
      <c r="C121" s="4" t="s">
        <v>1494</v>
      </c>
      <c r="D121" s="4" t="s">
        <v>1938</v>
      </c>
      <c r="E121" s="4" t="s">
        <v>2162</v>
      </c>
      <c r="F121" s="4" t="s">
        <v>2163</v>
      </c>
      <c r="G121" s="4" t="s">
        <v>2165</v>
      </c>
      <c r="H121" s="7" t="s">
        <v>2680</v>
      </c>
    </row>
    <row r="122" spans="1:8" ht="33.6" customHeight="1" x14ac:dyDescent="0.3">
      <c r="A122" s="4" t="s">
        <v>2486</v>
      </c>
      <c r="B122" s="12">
        <v>1</v>
      </c>
      <c r="C122" s="4" t="s">
        <v>1494</v>
      </c>
      <c r="D122" s="4" t="s">
        <v>18</v>
      </c>
      <c r="E122" s="4" t="s">
        <v>1905</v>
      </c>
      <c r="F122" s="4" t="s">
        <v>1906</v>
      </c>
      <c r="G122" s="4" t="s">
        <v>1908</v>
      </c>
      <c r="H122" s="7" t="s">
        <v>2680</v>
      </c>
    </row>
    <row r="123" spans="1:8" ht="33.6" customHeight="1" x14ac:dyDescent="0.3">
      <c r="A123" s="4" t="s">
        <v>2503</v>
      </c>
      <c r="B123" s="12">
        <v>1</v>
      </c>
      <c r="C123" s="4" t="s">
        <v>1494</v>
      </c>
      <c r="D123" s="4" t="s">
        <v>1938</v>
      </c>
      <c r="E123" s="4" t="s">
        <v>2104</v>
      </c>
      <c r="F123" s="4" t="s">
        <v>2105</v>
      </c>
      <c r="G123" s="4" t="s">
        <v>2107</v>
      </c>
      <c r="H123" s="7" t="s">
        <v>2680</v>
      </c>
    </row>
    <row r="124" spans="1:8" ht="33.6" customHeight="1" x14ac:dyDescent="0.3">
      <c r="A124" s="4" t="s">
        <v>2414</v>
      </c>
      <c r="B124" s="12">
        <v>1</v>
      </c>
      <c r="C124" s="4" t="s">
        <v>773</v>
      </c>
      <c r="D124" s="4" t="s">
        <v>18</v>
      </c>
      <c r="E124" s="4" t="s">
        <v>1405</v>
      </c>
      <c r="F124" s="4" t="s">
        <v>1406</v>
      </c>
      <c r="G124" s="4" t="s">
        <v>1408</v>
      </c>
      <c r="H124" s="7" t="s">
        <v>2680</v>
      </c>
    </row>
    <row r="125" spans="1:8" ht="33.6" customHeight="1" x14ac:dyDescent="0.3">
      <c r="A125" s="4" t="s">
        <v>2405</v>
      </c>
      <c r="B125" s="12">
        <v>1</v>
      </c>
      <c r="C125" s="4" t="s">
        <v>773</v>
      </c>
      <c r="D125" s="4" t="s">
        <v>18</v>
      </c>
      <c r="E125" s="4" t="s">
        <v>1351</v>
      </c>
      <c r="F125" s="4" t="s">
        <v>1352</v>
      </c>
      <c r="G125" s="4" t="s">
        <v>1354</v>
      </c>
      <c r="H125" s="7" t="s">
        <v>2680</v>
      </c>
    </row>
    <row r="126" spans="1:8" ht="33.6" customHeight="1" x14ac:dyDescent="0.3">
      <c r="A126" s="4" t="s">
        <v>2451</v>
      </c>
      <c r="B126" s="12">
        <v>1</v>
      </c>
      <c r="C126" s="4" t="s">
        <v>1494</v>
      </c>
      <c r="D126" s="4" t="s">
        <v>18</v>
      </c>
      <c r="E126" s="4" t="s">
        <v>1663</v>
      </c>
      <c r="F126" s="4" t="s">
        <v>1664</v>
      </c>
      <c r="G126" s="4" t="s">
        <v>1666</v>
      </c>
      <c r="H126" s="7" t="s">
        <v>2680</v>
      </c>
    </row>
    <row r="127" spans="1:8" ht="33.6" customHeight="1" x14ac:dyDescent="0.3">
      <c r="A127" s="4" t="s">
        <v>2458</v>
      </c>
      <c r="B127" s="12">
        <v>1</v>
      </c>
      <c r="C127" s="4" t="s">
        <v>1494</v>
      </c>
      <c r="D127" s="4" t="s">
        <v>18</v>
      </c>
      <c r="E127" s="4" t="s">
        <v>1705</v>
      </c>
      <c r="F127" s="4" t="s">
        <v>1706</v>
      </c>
      <c r="G127" s="4" t="s">
        <v>1708</v>
      </c>
      <c r="H127" s="7" t="s">
        <v>2680</v>
      </c>
    </row>
    <row r="128" spans="1:8" ht="33.6" customHeight="1" x14ac:dyDescent="0.3">
      <c r="A128" s="4" t="s">
        <v>2510</v>
      </c>
      <c r="B128" s="12">
        <v>1</v>
      </c>
      <c r="C128" s="4" t="s">
        <v>1494</v>
      </c>
      <c r="D128" s="4" t="s">
        <v>1938</v>
      </c>
      <c r="E128" s="4" t="s">
        <v>2152</v>
      </c>
      <c r="F128" s="4" t="s">
        <v>2153</v>
      </c>
      <c r="G128" s="4" t="s">
        <v>2155</v>
      </c>
      <c r="H128" s="7" t="s">
        <v>2680</v>
      </c>
    </row>
    <row r="129" spans="1:8" ht="33.6" customHeight="1" x14ac:dyDescent="0.3">
      <c r="A129" s="4" t="s">
        <v>2438</v>
      </c>
      <c r="B129" s="12">
        <v>1</v>
      </c>
      <c r="C129" s="4" t="s">
        <v>1494</v>
      </c>
      <c r="D129" s="4" t="s">
        <v>18</v>
      </c>
      <c r="E129" s="4" t="s">
        <v>1561</v>
      </c>
      <c r="F129" s="4" t="s">
        <v>1562</v>
      </c>
      <c r="G129" s="4" t="s">
        <v>1564</v>
      </c>
      <c r="H129" s="7" t="s">
        <v>2680</v>
      </c>
    </row>
    <row r="130" spans="1:8" ht="33.6" customHeight="1" x14ac:dyDescent="0.3">
      <c r="A130" s="4" t="s">
        <v>2481</v>
      </c>
      <c r="B130" s="12">
        <v>1</v>
      </c>
      <c r="C130" s="4" t="s">
        <v>1494</v>
      </c>
      <c r="D130" s="4" t="s">
        <v>18</v>
      </c>
      <c r="E130" s="4" t="s">
        <v>1879</v>
      </c>
      <c r="F130" s="4" t="s">
        <v>1880</v>
      </c>
      <c r="G130" s="4" t="s">
        <v>1882</v>
      </c>
      <c r="H130" s="7" t="s">
        <v>2680</v>
      </c>
    </row>
    <row r="131" spans="1:8" ht="33.6" customHeight="1" x14ac:dyDescent="0.3">
      <c r="A131" s="4" t="s">
        <v>2447</v>
      </c>
      <c r="B131" s="12">
        <v>1</v>
      </c>
      <c r="C131" s="4" t="s">
        <v>1494</v>
      </c>
      <c r="D131" s="4" t="s">
        <v>18</v>
      </c>
      <c r="E131" s="4" t="s">
        <v>1627</v>
      </c>
      <c r="F131" s="4" t="s">
        <v>1628</v>
      </c>
      <c r="G131" s="4" t="s">
        <v>1630</v>
      </c>
      <c r="H131" s="7" t="s">
        <v>2680</v>
      </c>
    </row>
    <row r="132" spans="1:8" ht="33.6" customHeight="1" x14ac:dyDescent="0.3">
      <c r="A132" s="4" t="s">
        <v>2445</v>
      </c>
      <c r="B132" s="12">
        <v>1</v>
      </c>
      <c r="C132" s="4" t="s">
        <v>1494</v>
      </c>
      <c r="D132" s="4" t="s">
        <v>18</v>
      </c>
      <c r="E132" s="4" t="s">
        <v>1611</v>
      </c>
      <c r="F132" s="4" t="s">
        <v>1612</v>
      </c>
      <c r="G132" s="4" t="s">
        <v>1614</v>
      </c>
      <c r="H132" s="7" t="s">
        <v>2680</v>
      </c>
    </row>
    <row r="133" spans="1:8" ht="33.6" customHeight="1" x14ac:dyDescent="0.3">
      <c r="A133" s="4" t="s">
        <v>2459</v>
      </c>
      <c r="B133" s="12">
        <v>1</v>
      </c>
      <c r="C133" s="4" t="s">
        <v>1494</v>
      </c>
      <c r="D133" s="4" t="s">
        <v>18</v>
      </c>
      <c r="E133" s="4" t="s">
        <v>1711</v>
      </c>
      <c r="F133" s="4" t="s">
        <v>1712</v>
      </c>
      <c r="G133" s="4" t="s">
        <v>1714</v>
      </c>
      <c r="H133" s="7" t="s">
        <v>2680</v>
      </c>
    </row>
    <row r="134" spans="1:8" ht="33.6" customHeight="1" x14ac:dyDescent="0.3">
      <c r="A134" s="4" t="s">
        <v>2454</v>
      </c>
      <c r="B134" s="12">
        <v>1</v>
      </c>
      <c r="C134" s="4" t="s">
        <v>1494</v>
      </c>
      <c r="D134" s="4" t="s">
        <v>18</v>
      </c>
      <c r="E134" s="4" t="s">
        <v>1679</v>
      </c>
      <c r="F134" s="4" t="s">
        <v>1680</v>
      </c>
      <c r="G134" s="4" t="s">
        <v>1682</v>
      </c>
      <c r="H134" s="7" t="s">
        <v>2680</v>
      </c>
    </row>
    <row r="135" spans="1:8" ht="33.6" customHeight="1" x14ac:dyDescent="0.3">
      <c r="A135" s="4" t="s">
        <v>2466</v>
      </c>
      <c r="B135" s="12">
        <v>1</v>
      </c>
      <c r="C135" s="4" t="s">
        <v>1494</v>
      </c>
      <c r="D135" s="4" t="s">
        <v>18</v>
      </c>
      <c r="E135" s="4" t="s">
        <v>1756</v>
      </c>
      <c r="F135" s="4" t="s">
        <v>1757</v>
      </c>
      <c r="G135" s="4" t="s">
        <v>1759</v>
      </c>
      <c r="H135" s="7" t="s">
        <v>2680</v>
      </c>
    </row>
    <row r="136" spans="1:8" ht="33.6" customHeight="1" x14ac:dyDescent="0.3">
      <c r="A136" s="4" t="s">
        <v>2444</v>
      </c>
      <c r="B136" s="12">
        <v>1</v>
      </c>
      <c r="C136" s="4" t="s">
        <v>1494</v>
      </c>
      <c r="D136" s="4" t="s">
        <v>18</v>
      </c>
      <c r="E136" s="4" t="s">
        <v>1605</v>
      </c>
      <c r="F136" s="4" t="s">
        <v>1606</v>
      </c>
      <c r="G136" s="4" t="s">
        <v>1608</v>
      </c>
      <c r="H136" s="7" t="s">
        <v>2680</v>
      </c>
    </row>
    <row r="137" spans="1:8" ht="33.6" customHeight="1" x14ac:dyDescent="0.3">
      <c r="A137" s="4" t="s">
        <v>2435</v>
      </c>
      <c r="B137" s="12">
        <v>1</v>
      </c>
      <c r="C137" s="4" t="s">
        <v>1494</v>
      </c>
      <c r="D137" s="4" t="s">
        <v>18</v>
      </c>
      <c r="E137" s="4" t="s">
        <v>1539</v>
      </c>
      <c r="F137" s="4" t="s">
        <v>1540</v>
      </c>
      <c r="G137" s="4" t="s">
        <v>1542</v>
      </c>
      <c r="H137" s="7" t="s">
        <v>2680</v>
      </c>
    </row>
    <row r="138" spans="1:8" ht="33.6" customHeight="1" x14ac:dyDescent="0.3">
      <c r="A138" s="4" t="s">
        <v>2476</v>
      </c>
      <c r="B138" s="12">
        <v>1</v>
      </c>
      <c r="C138" s="4" t="s">
        <v>1494</v>
      </c>
      <c r="D138" s="4" t="s">
        <v>18</v>
      </c>
      <c r="E138" s="4" t="s">
        <v>1832</v>
      </c>
      <c r="F138" s="4" t="s">
        <v>1833</v>
      </c>
      <c r="G138" s="4" t="s">
        <v>1835</v>
      </c>
      <c r="H138" s="7" t="s">
        <v>2680</v>
      </c>
    </row>
    <row r="139" spans="1:8" ht="33.6" customHeight="1" x14ac:dyDescent="0.3">
      <c r="A139" s="4" t="s">
        <v>2487</v>
      </c>
      <c r="B139" s="12">
        <v>1</v>
      </c>
      <c r="C139" s="4" t="s">
        <v>1494</v>
      </c>
      <c r="D139" s="4" t="s">
        <v>18</v>
      </c>
      <c r="E139" s="4" t="s">
        <v>1911</v>
      </c>
      <c r="F139" s="4" t="s">
        <v>1912</v>
      </c>
      <c r="G139" s="4" t="s">
        <v>1914</v>
      </c>
      <c r="H139" s="7" t="s">
        <v>2680</v>
      </c>
    </row>
    <row r="140" spans="1:8" ht="33.6" customHeight="1" x14ac:dyDescent="0.3">
      <c r="A140" s="4" t="s">
        <v>2509</v>
      </c>
      <c r="B140" s="12">
        <v>1</v>
      </c>
      <c r="C140" s="4" t="s">
        <v>1494</v>
      </c>
      <c r="D140" s="4" t="s">
        <v>1938</v>
      </c>
      <c r="E140" s="4" t="s">
        <v>2146</v>
      </c>
      <c r="F140" s="4" t="s">
        <v>2147</v>
      </c>
      <c r="G140" s="4" t="s">
        <v>2149</v>
      </c>
      <c r="H140" s="7" t="s">
        <v>2680</v>
      </c>
    </row>
    <row r="141" spans="1:8" ht="33.6" customHeight="1" x14ac:dyDescent="0.3">
      <c r="A141" s="4" t="s">
        <v>2512</v>
      </c>
      <c r="B141" s="12">
        <v>1</v>
      </c>
      <c r="C141" s="4" t="s">
        <v>1494</v>
      </c>
      <c r="D141" s="4" t="s">
        <v>1938</v>
      </c>
      <c r="E141" s="4" t="s">
        <v>2169</v>
      </c>
      <c r="F141" s="4" t="s">
        <v>2170</v>
      </c>
      <c r="G141" s="4" t="s">
        <v>2172</v>
      </c>
      <c r="H141" s="7" t="s">
        <v>2680</v>
      </c>
    </row>
    <row r="142" spans="1:8" ht="33.6" customHeight="1" x14ac:dyDescent="0.3">
      <c r="A142" s="4" t="s">
        <v>2488</v>
      </c>
      <c r="B142" s="12">
        <v>1</v>
      </c>
      <c r="C142" s="4" t="s">
        <v>1494</v>
      </c>
      <c r="D142" s="4" t="s">
        <v>18</v>
      </c>
      <c r="E142" s="4" t="s">
        <v>1921</v>
      </c>
      <c r="F142" s="4" t="s">
        <v>1922</v>
      </c>
      <c r="G142" s="4" t="s">
        <v>1924</v>
      </c>
      <c r="H142" s="7" t="s">
        <v>2680</v>
      </c>
    </row>
    <row r="143" spans="1:8" ht="33.6" customHeight="1" x14ac:dyDescent="0.3">
      <c r="A143" s="4" t="s">
        <v>2449</v>
      </c>
      <c r="B143" s="12">
        <v>1</v>
      </c>
      <c r="C143" s="4" t="s">
        <v>1494</v>
      </c>
      <c r="D143" s="4" t="s">
        <v>18</v>
      </c>
      <c r="E143" s="4" t="s">
        <v>1647</v>
      </c>
      <c r="F143" s="4" t="s">
        <v>1648</v>
      </c>
      <c r="G143" s="4" t="s">
        <v>1650</v>
      </c>
      <c r="H143" s="7" t="s">
        <v>2680</v>
      </c>
    </row>
    <row r="144" spans="1:8" ht="33.6" customHeight="1" x14ac:dyDescent="0.3">
      <c r="A144" s="4" t="s">
        <v>2446</v>
      </c>
      <c r="B144" s="12">
        <v>1</v>
      </c>
      <c r="C144" s="4" t="s">
        <v>1494</v>
      </c>
      <c r="D144" s="4" t="s">
        <v>18</v>
      </c>
      <c r="E144" s="4" t="s">
        <v>1617</v>
      </c>
      <c r="F144" s="4" t="s">
        <v>1618</v>
      </c>
      <c r="G144" s="4" t="s">
        <v>1620</v>
      </c>
      <c r="H144" s="7" t="s">
        <v>2680</v>
      </c>
    </row>
    <row r="145" spans="1:8" ht="33.6" customHeight="1" x14ac:dyDescent="0.3">
      <c r="A145" s="4" t="s">
        <v>2430</v>
      </c>
      <c r="B145" s="12">
        <v>1</v>
      </c>
      <c r="C145" s="4" t="s">
        <v>1494</v>
      </c>
      <c r="D145" s="4" t="s">
        <v>18</v>
      </c>
      <c r="E145" s="4" t="s">
        <v>1498</v>
      </c>
      <c r="F145" s="4" t="s">
        <v>1499</v>
      </c>
      <c r="G145" s="4" t="s">
        <v>1501</v>
      </c>
      <c r="H145" s="7" t="s">
        <v>2680</v>
      </c>
    </row>
    <row r="146" spans="1:8" ht="33.6" customHeight="1" x14ac:dyDescent="0.3">
      <c r="A146" s="4" t="s">
        <v>2461</v>
      </c>
      <c r="B146" s="12">
        <v>1</v>
      </c>
      <c r="C146" s="4" t="s">
        <v>1494</v>
      </c>
      <c r="D146" s="4" t="s">
        <v>18</v>
      </c>
      <c r="E146" s="4" t="s">
        <v>1721</v>
      </c>
      <c r="F146" s="4" t="s">
        <v>1722</v>
      </c>
      <c r="G146" s="4" t="s">
        <v>1724</v>
      </c>
      <c r="H146" s="7" t="s">
        <v>2680</v>
      </c>
    </row>
    <row r="147" spans="1:8" ht="33.6" customHeight="1" x14ac:dyDescent="0.3">
      <c r="A147" s="4" t="s">
        <v>2443</v>
      </c>
      <c r="B147" s="12">
        <v>1</v>
      </c>
      <c r="C147" s="4" t="s">
        <v>1494</v>
      </c>
      <c r="D147" s="4" t="s">
        <v>18</v>
      </c>
      <c r="E147" s="4" t="s">
        <v>1599</v>
      </c>
      <c r="F147" s="4" t="s">
        <v>1600</v>
      </c>
      <c r="G147" s="4" t="s">
        <v>1602</v>
      </c>
      <c r="H147" s="7" t="s">
        <v>2680</v>
      </c>
    </row>
    <row r="148" spans="1:8" ht="33.6" customHeight="1" x14ac:dyDescent="0.3">
      <c r="A148" s="4" t="s">
        <v>2505</v>
      </c>
      <c r="B148" s="12">
        <v>1</v>
      </c>
      <c r="C148" s="4" t="s">
        <v>1494</v>
      </c>
      <c r="D148" s="4" t="s">
        <v>1938</v>
      </c>
      <c r="E148" s="4" t="s">
        <v>2117</v>
      </c>
      <c r="F148" s="4" t="s">
        <v>2118</v>
      </c>
      <c r="G148" s="4" t="s">
        <v>2120</v>
      </c>
      <c r="H148" s="7" t="s">
        <v>2680</v>
      </c>
    </row>
    <row r="149" spans="1:8" ht="33.6" customHeight="1" x14ac:dyDescent="0.3">
      <c r="A149" s="4" t="s">
        <v>2305</v>
      </c>
      <c r="B149" s="12">
        <v>1</v>
      </c>
      <c r="C149" s="4" t="s">
        <v>17</v>
      </c>
      <c r="D149" s="4" t="s">
        <v>18</v>
      </c>
      <c r="E149" s="4" t="s">
        <v>745</v>
      </c>
      <c r="F149" s="4" t="s">
        <v>746</v>
      </c>
      <c r="G149" s="4" t="s">
        <v>748</v>
      </c>
      <c r="H149" s="7" t="s">
        <v>2680</v>
      </c>
    </row>
    <row r="150" spans="1:8" ht="33.6" customHeight="1" x14ac:dyDescent="0.3">
      <c r="A150" s="4" t="s">
        <v>2189</v>
      </c>
      <c r="B150" s="12">
        <v>1</v>
      </c>
      <c r="C150" s="4" t="s">
        <v>17</v>
      </c>
      <c r="D150" s="4" t="s">
        <v>18</v>
      </c>
      <c r="E150" s="4" t="s">
        <v>14</v>
      </c>
      <c r="F150" s="4" t="s">
        <v>15</v>
      </c>
      <c r="G150" s="4" t="s">
        <v>19</v>
      </c>
      <c r="H150" s="7" t="s">
        <v>2680</v>
      </c>
    </row>
    <row r="151" spans="1:8" ht="33.6" customHeight="1" x14ac:dyDescent="0.3">
      <c r="A151" s="4" t="s">
        <v>2298</v>
      </c>
      <c r="B151" s="12">
        <v>1</v>
      </c>
      <c r="C151" s="4" t="s">
        <v>17</v>
      </c>
      <c r="D151" s="4" t="s">
        <v>18</v>
      </c>
      <c r="E151" s="4" t="s">
        <v>703</v>
      </c>
      <c r="F151" s="4" t="s">
        <v>704</v>
      </c>
      <c r="G151" s="4" t="s">
        <v>706</v>
      </c>
      <c r="H151" s="7" t="s">
        <v>2680</v>
      </c>
    </row>
    <row r="152" spans="1:8" ht="33.6" customHeight="1" x14ac:dyDescent="0.3">
      <c r="A152" s="4" t="s">
        <v>2301</v>
      </c>
      <c r="B152" s="12">
        <v>1</v>
      </c>
      <c r="C152" s="4" t="s">
        <v>17</v>
      </c>
      <c r="D152" s="4" t="s">
        <v>18</v>
      </c>
      <c r="E152" s="4" t="s">
        <v>721</v>
      </c>
      <c r="F152" s="4" t="s">
        <v>722</v>
      </c>
      <c r="G152" s="4" t="s">
        <v>724</v>
      </c>
      <c r="H152" s="7" t="s">
        <v>2680</v>
      </c>
    </row>
    <row r="153" spans="1:8" ht="33.6" customHeight="1" x14ac:dyDescent="0.3">
      <c r="A153" s="4" t="s">
        <v>2194</v>
      </c>
      <c r="B153" s="12">
        <v>1</v>
      </c>
      <c r="C153" s="4" t="s">
        <v>17</v>
      </c>
      <c r="D153" s="4" t="s">
        <v>18</v>
      </c>
      <c r="E153" s="4" t="s">
        <v>53</v>
      </c>
      <c r="F153" s="4" t="s">
        <v>54</v>
      </c>
      <c r="G153" s="4" t="s">
        <v>56</v>
      </c>
      <c r="H153" s="7" t="s">
        <v>2680</v>
      </c>
    </row>
    <row r="154" spans="1:8" ht="33.6" customHeight="1" x14ac:dyDescent="0.3">
      <c r="A154" s="4" t="s">
        <v>2307</v>
      </c>
      <c r="B154" s="12">
        <v>1</v>
      </c>
      <c r="C154" s="4" t="s">
        <v>17</v>
      </c>
      <c r="D154" s="4" t="s">
        <v>18</v>
      </c>
      <c r="E154" s="4" t="s">
        <v>757</v>
      </c>
      <c r="F154" s="4" t="s">
        <v>758</v>
      </c>
      <c r="G154" s="4" t="s">
        <v>760</v>
      </c>
      <c r="H154" s="7" t="s">
        <v>2680</v>
      </c>
    </row>
    <row r="155" spans="1:8" ht="33.6" customHeight="1" x14ac:dyDescent="0.3">
      <c r="A155" s="4" t="s">
        <v>2248</v>
      </c>
      <c r="B155" s="12">
        <v>1</v>
      </c>
      <c r="C155" s="4" t="s">
        <v>17</v>
      </c>
      <c r="D155" s="4" t="s">
        <v>18</v>
      </c>
      <c r="E155" s="4" t="s">
        <v>396</v>
      </c>
      <c r="F155" s="4" t="s">
        <v>397</v>
      </c>
      <c r="G155" s="4" t="s">
        <v>399</v>
      </c>
      <c r="H155" s="7" t="s">
        <v>2680</v>
      </c>
    </row>
    <row r="156" spans="1:8" ht="33.6" customHeight="1" x14ac:dyDescent="0.3">
      <c r="A156" s="4" t="s">
        <v>2299</v>
      </c>
      <c r="B156" s="12">
        <v>1</v>
      </c>
      <c r="C156" s="4" t="s">
        <v>17</v>
      </c>
      <c r="D156" s="4" t="s">
        <v>18</v>
      </c>
      <c r="E156" s="4" t="s">
        <v>709</v>
      </c>
      <c r="F156" s="4" t="s">
        <v>710</v>
      </c>
      <c r="G156" s="4" t="s">
        <v>712</v>
      </c>
      <c r="H156" s="7" t="s">
        <v>2680</v>
      </c>
    </row>
    <row r="157" spans="1:8" ht="33.6" customHeight="1" x14ac:dyDescent="0.3">
      <c r="A157" s="4" t="s">
        <v>2201</v>
      </c>
      <c r="B157" s="12">
        <v>1</v>
      </c>
      <c r="C157" s="4" t="s">
        <v>17</v>
      </c>
      <c r="D157" s="4" t="s">
        <v>18</v>
      </c>
      <c r="E157" s="4" t="s">
        <v>102</v>
      </c>
      <c r="F157" s="4" t="s">
        <v>103</v>
      </c>
      <c r="G157" s="4" t="s">
        <v>105</v>
      </c>
      <c r="H157" s="7" t="s">
        <v>2680</v>
      </c>
    </row>
    <row r="158" spans="1:8" ht="33.6" customHeight="1" x14ac:dyDescent="0.3">
      <c r="A158" s="4" t="s">
        <v>2288</v>
      </c>
      <c r="B158" s="12">
        <v>1</v>
      </c>
      <c r="C158" s="4" t="s">
        <v>17</v>
      </c>
      <c r="D158" s="4" t="s">
        <v>18</v>
      </c>
      <c r="E158" s="4" t="s">
        <v>641</v>
      </c>
      <c r="F158" s="4" t="s">
        <v>642</v>
      </c>
      <c r="G158" s="4" t="s">
        <v>644</v>
      </c>
      <c r="H158" s="7" t="s">
        <v>2680</v>
      </c>
    </row>
    <row r="159" spans="1:8" ht="33.6" customHeight="1" x14ac:dyDescent="0.3">
      <c r="A159" s="4" t="s">
        <v>2200</v>
      </c>
      <c r="B159" s="12">
        <v>1</v>
      </c>
      <c r="C159" s="4" t="s">
        <v>17</v>
      </c>
      <c r="D159" s="4" t="s">
        <v>18</v>
      </c>
      <c r="E159" s="4" t="s">
        <v>95</v>
      </c>
      <c r="F159" s="4" t="s">
        <v>96</v>
      </c>
      <c r="G159" s="4" t="s">
        <v>98</v>
      </c>
      <c r="H159" s="7" t="s">
        <v>2680</v>
      </c>
    </row>
    <row r="160" spans="1:8" ht="33.6" customHeight="1" x14ac:dyDescent="0.3">
      <c r="A160" s="4" t="s">
        <v>2264</v>
      </c>
      <c r="B160" s="12">
        <v>1</v>
      </c>
      <c r="C160" s="4" t="s">
        <v>17</v>
      </c>
      <c r="D160" s="4" t="s">
        <v>18</v>
      </c>
      <c r="E160" s="4" t="s">
        <v>495</v>
      </c>
      <c r="F160" s="4" t="s">
        <v>496</v>
      </c>
      <c r="G160" s="4" t="s">
        <v>498</v>
      </c>
      <c r="H160" s="7" t="s">
        <v>2680</v>
      </c>
    </row>
    <row r="161" spans="1:8" ht="33.6" customHeight="1" x14ac:dyDescent="0.3">
      <c r="A161" s="4" t="s">
        <v>2260</v>
      </c>
      <c r="B161" s="12">
        <v>1</v>
      </c>
      <c r="C161" s="4" t="s">
        <v>17</v>
      </c>
      <c r="D161" s="4" t="s">
        <v>18</v>
      </c>
      <c r="E161" s="4" t="s">
        <v>471</v>
      </c>
      <c r="F161" s="4" t="s">
        <v>472</v>
      </c>
      <c r="G161" s="4" t="s">
        <v>474</v>
      </c>
      <c r="H161" s="7" t="s">
        <v>2680</v>
      </c>
    </row>
    <row r="162" spans="1:8" ht="33.6" customHeight="1" x14ac:dyDescent="0.3">
      <c r="A162" s="4" t="s">
        <v>2280</v>
      </c>
      <c r="B162" s="12">
        <v>1</v>
      </c>
      <c r="C162" s="4" t="s">
        <v>17</v>
      </c>
      <c r="D162" s="4" t="s">
        <v>18</v>
      </c>
      <c r="E162" s="4" t="s">
        <v>592</v>
      </c>
      <c r="F162" s="4" t="s">
        <v>593</v>
      </c>
      <c r="G162" s="4" t="s">
        <v>595</v>
      </c>
      <c r="H162" s="7" t="s">
        <v>2680</v>
      </c>
    </row>
    <row r="163" spans="1:8" ht="33.6" customHeight="1" x14ac:dyDescent="0.3">
      <c r="A163" s="4" t="s">
        <v>2209</v>
      </c>
      <c r="B163" s="12">
        <v>1</v>
      </c>
      <c r="C163" s="4" t="s">
        <v>17</v>
      </c>
      <c r="D163" s="4" t="s">
        <v>18</v>
      </c>
      <c r="E163" s="4" t="s">
        <v>155</v>
      </c>
      <c r="F163" s="4" t="s">
        <v>156</v>
      </c>
      <c r="G163" s="4" t="s">
        <v>158</v>
      </c>
      <c r="H163" s="7" t="s">
        <v>2680</v>
      </c>
    </row>
    <row r="164" spans="1:8" ht="33.6" customHeight="1" x14ac:dyDescent="0.3">
      <c r="A164" s="4" t="s">
        <v>2261</v>
      </c>
      <c r="B164" s="12">
        <v>1</v>
      </c>
      <c r="C164" s="4" t="s">
        <v>17</v>
      </c>
      <c r="D164" s="4" t="s">
        <v>18</v>
      </c>
      <c r="E164" s="4" t="s">
        <v>477</v>
      </c>
      <c r="F164" s="4" t="s">
        <v>478</v>
      </c>
      <c r="G164" s="4" t="s">
        <v>480</v>
      </c>
      <c r="H164" s="7" t="s">
        <v>2680</v>
      </c>
    </row>
    <row r="165" spans="1:8" ht="33.6" customHeight="1" x14ac:dyDescent="0.3">
      <c r="A165" s="4" t="s">
        <v>2306</v>
      </c>
      <c r="B165" s="12">
        <v>1</v>
      </c>
      <c r="C165" s="4" t="s">
        <v>17</v>
      </c>
      <c r="D165" s="4" t="s">
        <v>18</v>
      </c>
      <c r="E165" s="4" t="s">
        <v>751</v>
      </c>
      <c r="F165" s="4" t="s">
        <v>752</v>
      </c>
      <c r="G165" s="4" t="s">
        <v>754</v>
      </c>
      <c r="H165" s="7" t="s">
        <v>2680</v>
      </c>
    </row>
    <row r="166" spans="1:8" ht="33.6" customHeight="1" x14ac:dyDescent="0.3">
      <c r="A166" s="4" t="s">
        <v>2218</v>
      </c>
      <c r="B166" s="12">
        <v>1</v>
      </c>
      <c r="C166" s="4" t="s">
        <v>17</v>
      </c>
      <c r="D166" s="4" t="s">
        <v>18</v>
      </c>
      <c r="E166" s="4" t="s">
        <v>211</v>
      </c>
      <c r="F166" s="4" t="s">
        <v>212</v>
      </c>
      <c r="G166" s="4" t="s">
        <v>214</v>
      </c>
      <c r="H166" s="7" t="s">
        <v>2680</v>
      </c>
    </row>
    <row r="167" spans="1:8" ht="33.6" customHeight="1" x14ac:dyDescent="0.3">
      <c r="A167" s="4" t="s">
        <v>2276</v>
      </c>
      <c r="B167" s="12">
        <v>1</v>
      </c>
      <c r="C167" s="4" t="s">
        <v>17</v>
      </c>
      <c r="D167" s="4" t="s">
        <v>18</v>
      </c>
      <c r="E167" s="4" t="s">
        <v>567</v>
      </c>
      <c r="F167" s="4" t="s">
        <v>568</v>
      </c>
      <c r="G167" s="4" t="s">
        <v>570</v>
      </c>
      <c r="H167" s="7" t="s">
        <v>2680</v>
      </c>
    </row>
    <row r="168" spans="1:8" ht="33.6" customHeight="1" x14ac:dyDescent="0.3">
      <c r="A168" s="4" t="s">
        <v>2205</v>
      </c>
      <c r="B168" s="12">
        <v>1</v>
      </c>
      <c r="C168" s="4" t="s">
        <v>17</v>
      </c>
      <c r="D168" s="4" t="s">
        <v>18</v>
      </c>
      <c r="E168" s="4" t="s">
        <v>128</v>
      </c>
      <c r="F168" s="4" t="s">
        <v>129</v>
      </c>
      <c r="G168" s="4" t="s">
        <v>131</v>
      </c>
      <c r="H168" s="7" t="s">
        <v>2680</v>
      </c>
    </row>
    <row r="169" spans="1:8" ht="33.6" customHeight="1" x14ac:dyDescent="0.3">
      <c r="A169" s="4" t="s">
        <v>2263</v>
      </c>
      <c r="B169" s="12">
        <v>1</v>
      </c>
      <c r="C169" s="4" t="s">
        <v>17</v>
      </c>
      <c r="D169" s="4" t="s">
        <v>18</v>
      </c>
      <c r="E169" s="4" t="s">
        <v>489</v>
      </c>
      <c r="F169" s="4" t="s">
        <v>490</v>
      </c>
      <c r="G169" s="4" t="s">
        <v>492</v>
      </c>
      <c r="H169" s="7" t="s">
        <v>2680</v>
      </c>
    </row>
    <row r="170" spans="1:8" ht="33.6" customHeight="1" x14ac:dyDescent="0.3">
      <c r="A170" s="4" t="s">
        <v>2273</v>
      </c>
      <c r="B170" s="12">
        <v>1</v>
      </c>
      <c r="C170" s="4" t="s">
        <v>17</v>
      </c>
      <c r="D170" s="4" t="s">
        <v>18</v>
      </c>
      <c r="E170" s="4" t="s">
        <v>549</v>
      </c>
      <c r="F170" s="4" t="s">
        <v>550</v>
      </c>
      <c r="G170" s="4" t="s">
        <v>552</v>
      </c>
      <c r="H170" s="7" t="s">
        <v>2680</v>
      </c>
    </row>
    <row r="171" spans="1:8" ht="33.6" customHeight="1" x14ac:dyDescent="0.3">
      <c r="A171" s="4" t="s">
        <v>2244</v>
      </c>
      <c r="B171" s="12">
        <v>1</v>
      </c>
      <c r="C171" s="4" t="s">
        <v>17</v>
      </c>
      <c r="D171" s="4" t="s">
        <v>18</v>
      </c>
      <c r="E171" s="4" t="s">
        <v>372</v>
      </c>
      <c r="F171" s="4" t="s">
        <v>373</v>
      </c>
      <c r="G171" s="4" t="s">
        <v>375</v>
      </c>
      <c r="H171" s="7" t="s">
        <v>2680</v>
      </c>
    </row>
    <row r="172" spans="1:8" ht="33.6" customHeight="1" x14ac:dyDescent="0.3">
      <c r="A172" s="4" t="s">
        <v>2497</v>
      </c>
      <c r="B172" s="12">
        <v>1</v>
      </c>
      <c r="C172" s="4" t="s">
        <v>17</v>
      </c>
      <c r="D172" s="4" t="s">
        <v>1938</v>
      </c>
      <c r="E172" s="4" t="s">
        <v>1980</v>
      </c>
      <c r="F172" s="4" t="s">
        <v>1981</v>
      </c>
      <c r="G172" s="4" t="s">
        <v>1983</v>
      </c>
      <c r="H172" s="7" t="s">
        <v>2680</v>
      </c>
    </row>
    <row r="173" spans="1:8" ht="33.6" customHeight="1" x14ac:dyDescent="0.3">
      <c r="A173" s="4" t="s">
        <v>2232</v>
      </c>
      <c r="B173" s="12">
        <v>1</v>
      </c>
      <c r="C173" s="4" t="s">
        <v>17</v>
      </c>
      <c r="D173" s="4" t="s">
        <v>18</v>
      </c>
      <c r="E173" s="4" t="s">
        <v>299</v>
      </c>
      <c r="F173" s="4" t="s">
        <v>300</v>
      </c>
      <c r="G173" s="4" t="s">
        <v>302</v>
      </c>
      <c r="H173" s="7" t="s">
        <v>2680</v>
      </c>
    </row>
    <row r="174" spans="1:8" ht="33.6" customHeight="1" x14ac:dyDescent="0.3">
      <c r="A174" s="4" t="s">
        <v>2214</v>
      </c>
      <c r="B174" s="12">
        <v>1</v>
      </c>
      <c r="C174" s="4" t="s">
        <v>17</v>
      </c>
      <c r="D174" s="4" t="s">
        <v>18</v>
      </c>
      <c r="E174" s="4" t="s">
        <v>186</v>
      </c>
      <c r="F174" s="4" t="s">
        <v>187</v>
      </c>
      <c r="G174" s="4" t="s">
        <v>189</v>
      </c>
      <c r="H174" s="7" t="s">
        <v>2680</v>
      </c>
    </row>
    <row r="175" spans="1:8" ht="33.6" customHeight="1" x14ac:dyDescent="0.3">
      <c r="A175" s="4" t="s">
        <v>2278</v>
      </c>
      <c r="B175" s="12">
        <v>1</v>
      </c>
      <c r="C175" s="4" t="s">
        <v>17</v>
      </c>
      <c r="D175" s="4" t="s">
        <v>18</v>
      </c>
      <c r="E175" s="4" t="s">
        <v>580</v>
      </c>
      <c r="F175" s="4" t="s">
        <v>581</v>
      </c>
      <c r="G175" s="4" t="s">
        <v>583</v>
      </c>
      <c r="H175" s="7" t="s">
        <v>2680</v>
      </c>
    </row>
    <row r="176" spans="1:8" ht="33.6" customHeight="1" x14ac:dyDescent="0.3">
      <c r="A176" s="4" t="s">
        <v>2287</v>
      </c>
      <c r="B176" s="12">
        <v>1</v>
      </c>
      <c r="C176" s="4" t="s">
        <v>17</v>
      </c>
      <c r="D176" s="4" t="s">
        <v>18</v>
      </c>
      <c r="E176" s="4" t="s">
        <v>635</v>
      </c>
      <c r="F176" s="4" t="s">
        <v>636</v>
      </c>
      <c r="G176" s="4" t="s">
        <v>638</v>
      </c>
      <c r="H176" s="7" t="s">
        <v>2680</v>
      </c>
    </row>
    <row r="177" spans="1:8" ht="33.6" customHeight="1" x14ac:dyDescent="0.3">
      <c r="A177" s="4" t="s">
        <v>2195</v>
      </c>
      <c r="B177" s="12">
        <v>1</v>
      </c>
      <c r="C177" s="4" t="s">
        <v>17</v>
      </c>
      <c r="D177" s="4" t="s">
        <v>18</v>
      </c>
      <c r="E177" s="4" t="s">
        <v>60</v>
      </c>
      <c r="F177" s="4" t="s">
        <v>61</v>
      </c>
      <c r="G177" s="4" t="s">
        <v>63</v>
      </c>
      <c r="H177" s="7" t="s">
        <v>2680</v>
      </c>
    </row>
    <row r="178" spans="1:8" ht="33.6" customHeight="1" x14ac:dyDescent="0.3">
      <c r="A178" s="4" t="s">
        <v>2210</v>
      </c>
      <c r="B178" s="12">
        <v>1</v>
      </c>
      <c r="C178" s="4" t="s">
        <v>17</v>
      </c>
      <c r="D178" s="4" t="s">
        <v>18</v>
      </c>
      <c r="E178" s="4" t="s">
        <v>162</v>
      </c>
      <c r="F178" s="4" t="s">
        <v>163</v>
      </c>
      <c r="G178" s="4" t="s">
        <v>165</v>
      </c>
      <c r="H178" s="7" t="s">
        <v>2680</v>
      </c>
    </row>
    <row r="179" spans="1:8" ht="33.6" customHeight="1" x14ac:dyDescent="0.3">
      <c r="A179" s="4" t="s">
        <v>2222</v>
      </c>
      <c r="B179" s="12">
        <v>1</v>
      </c>
      <c r="C179" s="4" t="s">
        <v>17</v>
      </c>
      <c r="D179" s="4" t="s">
        <v>18</v>
      </c>
      <c r="E179" s="4" t="s">
        <v>236</v>
      </c>
      <c r="F179" s="4" t="s">
        <v>237</v>
      </c>
      <c r="G179" s="4" t="s">
        <v>239</v>
      </c>
      <c r="H179" s="7" t="s">
        <v>2680</v>
      </c>
    </row>
    <row r="180" spans="1:8" ht="33.6" customHeight="1" x14ac:dyDescent="0.3">
      <c r="A180" s="4" t="s">
        <v>2191</v>
      </c>
      <c r="B180" s="12">
        <v>1</v>
      </c>
      <c r="C180" s="4" t="s">
        <v>17</v>
      </c>
      <c r="D180" s="4" t="s">
        <v>18</v>
      </c>
      <c r="E180" s="4" t="s">
        <v>31</v>
      </c>
      <c r="F180" s="4" t="s">
        <v>32</v>
      </c>
      <c r="G180" s="4" t="s">
        <v>34</v>
      </c>
      <c r="H180" s="7" t="s">
        <v>2680</v>
      </c>
    </row>
    <row r="181" spans="1:8" ht="33.6" customHeight="1" x14ac:dyDescent="0.3">
      <c r="A181" s="4" t="s">
        <v>2231</v>
      </c>
      <c r="B181" s="12">
        <v>1</v>
      </c>
      <c r="C181" s="4" t="s">
        <v>17</v>
      </c>
      <c r="D181" s="4" t="s">
        <v>18</v>
      </c>
      <c r="E181" s="4" t="s">
        <v>293</v>
      </c>
      <c r="F181" s="4" t="s">
        <v>294</v>
      </c>
      <c r="G181" s="4" t="s">
        <v>296</v>
      </c>
      <c r="H181" s="7" t="s">
        <v>2680</v>
      </c>
    </row>
    <row r="182" spans="1:8" ht="33.6" customHeight="1" x14ac:dyDescent="0.3">
      <c r="A182" s="4" t="s">
        <v>2241</v>
      </c>
      <c r="B182" s="12">
        <v>1</v>
      </c>
      <c r="C182" s="4" t="s">
        <v>17</v>
      </c>
      <c r="D182" s="4" t="s">
        <v>18</v>
      </c>
      <c r="E182" s="4" t="s">
        <v>354</v>
      </c>
      <c r="F182" s="4" t="s">
        <v>355</v>
      </c>
      <c r="G182" s="4" t="s">
        <v>357</v>
      </c>
      <c r="H182" s="7" t="s">
        <v>2680</v>
      </c>
    </row>
    <row r="183" spans="1:8" ht="33.6" customHeight="1" x14ac:dyDescent="0.3">
      <c r="A183" s="4" t="s">
        <v>2498</v>
      </c>
      <c r="B183" s="12">
        <v>1</v>
      </c>
      <c r="C183" s="4" t="s">
        <v>17</v>
      </c>
      <c r="D183" s="4" t="s">
        <v>1938</v>
      </c>
      <c r="E183" s="4" t="s">
        <v>1986</v>
      </c>
      <c r="F183" s="4" t="s">
        <v>1987</v>
      </c>
      <c r="G183" s="4" t="s">
        <v>1989</v>
      </c>
      <c r="H183" s="7" t="s">
        <v>2680</v>
      </c>
    </row>
    <row r="184" spans="1:8" ht="33.6" customHeight="1" x14ac:dyDescent="0.3">
      <c r="A184" s="4" t="s">
        <v>2493</v>
      </c>
      <c r="B184" s="12">
        <v>1</v>
      </c>
      <c r="C184" s="4" t="s">
        <v>17</v>
      </c>
      <c r="D184" s="4" t="s">
        <v>1938</v>
      </c>
      <c r="E184" s="4" t="s">
        <v>1955</v>
      </c>
      <c r="F184" s="4" t="s">
        <v>1956</v>
      </c>
      <c r="G184" s="4" t="s">
        <v>1958</v>
      </c>
      <c r="H184" s="7" t="s">
        <v>2680</v>
      </c>
    </row>
    <row r="185" spans="1:8" ht="33.6" customHeight="1" x14ac:dyDescent="0.3">
      <c r="A185" s="4" t="s">
        <v>2233</v>
      </c>
      <c r="B185" s="12">
        <v>1</v>
      </c>
      <c r="C185" s="4" t="s">
        <v>17</v>
      </c>
      <c r="D185" s="4" t="s">
        <v>18</v>
      </c>
      <c r="E185" s="4" t="s">
        <v>305</v>
      </c>
      <c r="F185" s="4" t="s">
        <v>306</v>
      </c>
      <c r="G185" s="4" t="s">
        <v>308</v>
      </c>
      <c r="H185" s="7" t="s">
        <v>2680</v>
      </c>
    </row>
    <row r="186" spans="1:8" ht="33.6" customHeight="1" x14ac:dyDescent="0.3">
      <c r="A186" s="4" t="s">
        <v>2239</v>
      </c>
      <c r="B186" s="12">
        <v>1</v>
      </c>
      <c r="C186" s="4" t="s">
        <v>17</v>
      </c>
      <c r="D186" s="4" t="s">
        <v>18</v>
      </c>
      <c r="E186" s="4" t="s">
        <v>341</v>
      </c>
      <c r="F186" s="4" t="s">
        <v>342</v>
      </c>
      <c r="G186" s="4" t="s">
        <v>344</v>
      </c>
      <c r="H186" s="7" t="s">
        <v>2680</v>
      </c>
    </row>
    <row r="187" spans="1:8" ht="33.6" customHeight="1" x14ac:dyDescent="0.3">
      <c r="A187" s="4" t="s">
        <v>2297</v>
      </c>
      <c r="B187" s="12">
        <v>1</v>
      </c>
      <c r="C187" s="4" t="s">
        <v>17</v>
      </c>
      <c r="D187" s="4" t="s">
        <v>18</v>
      </c>
      <c r="E187" s="4" t="s">
        <v>697</v>
      </c>
      <c r="F187" s="4" t="s">
        <v>698</v>
      </c>
      <c r="G187" s="4" t="s">
        <v>700</v>
      </c>
      <c r="H187" s="7" t="s">
        <v>2680</v>
      </c>
    </row>
    <row r="188" spans="1:8" ht="33.6" customHeight="1" x14ac:dyDescent="0.3">
      <c r="A188" s="4" t="s">
        <v>2303</v>
      </c>
      <c r="B188" s="12">
        <v>1</v>
      </c>
      <c r="C188" s="4" t="s">
        <v>17</v>
      </c>
      <c r="D188" s="4" t="s">
        <v>18</v>
      </c>
      <c r="E188" s="4" t="s">
        <v>733</v>
      </c>
      <c r="F188" s="4" t="s">
        <v>734</v>
      </c>
      <c r="G188" s="4" t="s">
        <v>736</v>
      </c>
      <c r="H188" s="7" t="s">
        <v>2680</v>
      </c>
    </row>
    <row r="189" spans="1:8" ht="33.6" customHeight="1" x14ac:dyDescent="0.3">
      <c r="A189" s="4" t="s">
        <v>2192</v>
      </c>
      <c r="B189" s="12">
        <v>1</v>
      </c>
      <c r="C189" s="4" t="s">
        <v>17</v>
      </c>
      <c r="D189" s="4" t="s">
        <v>18</v>
      </c>
      <c r="E189" s="4" t="s">
        <v>38</v>
      </c>
      <c r="F189" s="4" t="s">
        <v>39</v>
      </c>
      <c r="G189" s="4" t="s">
        <v>41</v>
      </c>
      <c r="H189" s="7" t="s">
        <v>2680</v>
      </c>
    </row>
    <row r="190" spans="1:8" ht="33.6" customHeight="1" x14ac:dyDescent="0.3">
      <c r="A190" s="4" t="s">
        <v>2285</v>
      </c>
      <c r="B190" s="12">
        <v>1</v>
      </c>
      <c r="C190" s="4" t="s">
        <v>17</v>
      </c>
      <c r="D190" s="4" t="s">
        <v>18</v>
      </c>
      <c r="E190" s="4" t="s">
        <v>623</v>
      </c>
      <c r="F190" s="4" t="s">
        <v>624</v>
      </c>
      <c r="G190" s="4" t="s">
        <v>626</v>
      </c>
      <c r="H190" s="7" t="s">
        <v>2680</v>
      </c>
    </row>
    <row r="191" spans="1:8" ht="33.6" customHeight="1" x14ac:dyDescent="0.3">
      <c r="A191" s="4" t="s">
        <v>2203</v>
      </c>
      <c r="B191" s="12">
        <v>1</v>
      </c>
      <c r="C191" s="4" t="s">
        <v>17</v>
      </c>
      <c r="D191" s="4" t="s">
        <v>18</v>
      </c>
      <c r="E191" s="4" t="s">
        <v>114</v>
      </c>
      <c r="F191" s="4" t="s">
        <v>115</v>
      </c>
      <c r="G191" s="4" t="s">
        <v>117</v>
      </c>
      <c r="H191" s="7" t="s">
        <v>2680</v>
      </c>
    </row>
    <row r="192" spans="1:8" ht="33.6" customHeight="1" x14ac:dyDescent="0.3">
      <c r="A192" s="4" t="s">
        <v>2253</v>
      </c>
      <c r="B192" s="12">
        <v>1</v>
      </c>
      <c r="C192" s="4" t="s">
        <v>17</v>
      </c>
      <c r="D192" s="4" t="s">
        <v>18</v>
      </c>
      <c r="E192" s="4" t="s">
        <v>427</v>
      </c>
      <c r="F192" s="4" t="s">
        <v>428</v>
      </c>
      <c r="G192" s="4" t="s">
        <v>430</v>
      </c>
      <c r="H192" s="7" t="s">
        <v>2680</v>
      </c>
    </row>
    <row r="193" spans="1:8" ht="33.6" customHeight="1" x14ac:dyDescent="0.3">
      <c r="A193" s="4" t="s">
        <v>2491</v>
      </c>
      <c r="B193" s="12">
        <v>1</v>
      </c>
      <c r="C193" s="4" t="s">
        <v>17</v>
      </c>
      <c r="D193" s="4" t="s">
        <v>1938</v>
      </c>
      <c r="E193" s="4" t="s">
        <v>1942</v>
      </c>
      <c r="F193" s="4" t="s">
        <v>1943</v>
      </c>
      <c r="G193" s="4" t="s">
        <v>1945</v>
      </c>
      <c r="H193" s="7" t="s">
        <v>2680</v>
      </c>
    </row>
    <row r="194" spans="1:8" ht="33.6" customHeight="1" x14ac:dyDescent="0.3">
      <c r="A194" s="4" t="s">
        <v>2249</v>
      </c>
      <c r="B194" s="12">
        <v>1</v>
      </c>
      <c r="C194" s="4" t="s">
        <v>17</v>
      </c>
      <c r="D194" s="4" t="s">
        <v>18</v>
      </c>
      <c r="E194" s="4" t="s">
        <v>402</v>
      </c>
      <c r="F194" s="4" t="s">
        <v>403</v>
      </c>
      <c r="G194" s="4" t="s">
        <v>405</v>
      </c>
      <c r="H194" s="7" t="s">
        <v>2680</v>
      </c>
    </row>
    <row r="195" spans="1:8" ht="33.6" customHeight="1" x14ac:dyDescent="0.3">
      <c r="A195" s="4" t="s">
        <v>2202</v>
      </c>
      <c r="B195" s="12">
        <v>1</v>
      </c>
      <c r="C195" s="4" t="s">
        <v>17</v>
      </c>
      <c r="D195" s="4" t="s">
        <v>18</v>
      </c>
      <c r="E195" s="4" t="s">
        <v>108</v>
      </c>
      <c r="F195" s="4" t="s">
        <v>109</v>
      </c>
      <c r="G195" s="4" t="s">
        <v>111</v>
      </c>
      <c r="H195" s="7" t="s">
        <v>2680</v>
      </c>
    </row>
    <row r="196" spans="1:8" ht="33.6" customHeight="1" x14ac:dyDescent="0.3">
      <c r="A196" s="4" t="s">
        <v>2193</v>
      </c>
      <c r="B196" s="12">
        <v>1</v>
      </c>
      <c r="C196" s="4" t="s">
        <v>17</v>
      </c>
      <c r="D196" s="4" t="s">
        <v>18</v>
      </c>
      <c r="E196" s="4" t="s">
        <v>44</v>
      </c>
      <c r="F196" s="4" t="s">
        <v>45</v>
      </c>
      <c r="G196" s="4" t="s">
        <v>47</v>
      </c>
      <c r="H196" s="7" t="s">
        <v>2680</v>
      </c>
    </row>
    <row r="197" spans="1:8" ht="33.6" customHeight="1" x14ac:dyDescent="0.3">
      <c r="A197" s="4" t="s">
        <v>2235</v>
      </c>
      <c r="B197" s="12">
        <v>1</v>
      </c>
      <c r="C197" s="4" t="s">
        <v>17</v>
      </c>
      <c r="D197" s="4" t="s">
        <v>18</v>
      </c>
      <c r="E197" s="4" t="s">
        <v>317</v>
      </c>
      <c r="F197" s="4" t="s">
        <v>318</v>
      </c>
      <c r="G197" s="4" t="s">
        <v>320</v>
      </c>
      <c r="H197" s="7" t="s">
        <v>2680</v>
      </c>
    </row>
    <row r="198" spans="1:8" ht="33.6" customHeight="1" x14ac:dyDescent="0.3">
      <c r="A198" s="4" t="s">
        <v>2274</v>
      </c>
      <c r="B198" s="12">
        <v>1</v>
      </c>
      <c r="C198" s="4" t="s">
        <v>17</v>
      </c>
      <c r="D198" s="4" t="s">
        <v>18</v>
      </c>
      <c r="E198" s="4" t="s">
        <v>555</v>
      </c>
      <c r="F198" s="4" t="s">
        <v>556</v>
      </c>
      <c r="G198" s="4" t="s">
        <v>558</v>
      </c>
      <c r="H198" s="7" t="s">
        <v>2680</v>
      </c>
    </row>
    <row r="199" spans="1:8" ht="33.6" customHeight="1" x14ac:dyDescent="0.3">
      <c r="A199" s="4" t="s">
        <v>2204</v>
      </c>
      <c r="B199" s="12">
        <v>1</v>
      </c>
      <c r="C199" s="4" t="s">
        <v>17</v>
      </c>
      <c r="D199" s="4" t="s">
        <v>18</v>
      </c>
      <c r="E199" s="4" t="s">
        <v>121</v>
      </c>
      <c r="F199" s="4" t="s">
        <v>122</v>
      </c>
      <c r="G199" s="4" t="s">
        <v>124</v>
      </c>
      <c r="H199" s="7" t="s">
        <v>2680</v>
      </c>
    </row>
    <row r="200" spans="1:8" ht="33.6" customHeight="1" x14ac:dyDescent="0.3">
      <c r="A200" s="4" t="s">
        <v>2500</v>
      </c>
      <c r="B200" s="12">
        <v>1</v>
      </c>
      <c r="C200" s="4" t="s">
        <v>17</v>
      </c>
      <c r="D200" s="4" t="s">
        <v>1938</v>
      </c>
      <c r="E200" s="4" t="s">
        <v>2005</v>
      </c>
      <c r="F200" s="4" t="s">
        <v>2006</v>
      </c>
      <c r="G200" s="4" t="s">
        <v>2008</v>
      </c>
      <c r="H200" s="7" t="s">
        <v>2680</v>
      </c>
    </row>
    <row r="201" spans="1:8" ht="33.6" customHeight="1" x14ac:dyDescent="0.3">
      <c r="A201" s="4" t="s">
        <v>2211</v>
      </c>
      <c r="B201" s="12">
        <v>1</v>
      </c>
      <c r="C201" s="4" t="s">
        <v>17</v>
      </c>
      <c r="D201" s="4" t="s">
        <v>18</v>
      </c>
      <c r="E201" s="4" t="s">
        <v>168</v>
      </c>
      <c r="F201" s="4" t="s">
        <v>169</v>
      </c>
      <c r="G201" s="4" t="s">
        <v>171</v>
      </c>
      <c r="H201" s="7" t="s">
        <v>2680</v>
      </c>
    </row>
    <row r="202" spans="1:8" ht="33.6" customHeight="1" x14ac:dyDescent="0.3">
      <c r="A202" s="4" t="s">
        <v>2262</v>
      </c>
      <c r="B202" s="12">
        <v>1</v>
      </c>
      <c r="C202" s="4" t="s">
        <v>17</v>
      </c>
      <c r="D202" s="4" t="s">
        <v>18</v>
      </c>
      <c r="E202" s="4" t="s">
        <v>483</v>
      </c>
      <c r="F202" s="4" t="s">
        <v>484</v>
      </c>
      <c r="G202" s="4" t="s">
        <v>486</v>
      </c>
      <c r="H202" s="7" t="s">
        <v>2680</v>
      </c>
    </row>
    <row r="203" spans="1:8" ht="33.6" customHeight="1" x14ac:dyDescent="0.3">
      <c r="A203" s="4" t="s">
        <v>2490</v>
      </c>
      <c r="B203" s="12">
        <v>1</v>
      </c>
      <c r="C203" s="4" t="s">
        <v>17</v>
      </c>
      <c r="D203" s="4" t="s">
        <v>1938</v>
      </c>
      <c r="E203" s="4" t="s">
        <v>1935</v>
      </c>
      <c r="F203" s="4" t="s">
        <v>1936</v>
      </c>
      <c r="G203" s="4" t="s">
        <v>1939</v>
      </c>
      <c r="H203" s="7" t="s">
        <v>2680</v>
      </c>
    </row>
    <row r="204" spans="1:8" ht="33.6" customHeight="1" x14ac:dyDescent="0.3">
      <c r="A204" s="4" t="s">
        <v>2224</v>
      </c>
      <c r="B204" s="12">
        <v>1</v>
      </c>
      <c r="C204" s="4" t="s">
        <v>17</v>
      </c>
      <c r="D204" s="4" t="s">
        <v>18</v>
      </c>
      <c r="E204" s="4" t="s">
        <v>248</v>
      </c>
      <c r="F204" s="4" t="s">
        <v>249</v>
      </c>
      <c r="G204" s="4" t="s">
        <v>251</v>
      </c>
      <c r="H204" s="7" t="s">
        <v>2680</v>
      </c>
    </row>
    <row r="205" spans="1:8" ht="33.6" customHeight="1" x14ac:dyDescent="0.3">
      <c r="A205" s="4" t="s">
        <v>2254</v>
      </c>
      <c r="B205" s="12">
        <v>1</v>
      </c>
      <c r="C205" s="4" t="s">
        <v>17</v>
      </c>
      <c r="D205" s="4" t="s">
        <v>18</v>
      </c>
      <c r="E205" s="4" t="s">
        <v>433</v>
      </c>
      <c r="F205" s="4" t="s">
        <v>434</v>
      </c>
      <c r="G205" s="4" t="s">
        <v>436</v>
      </c>
      <c r="H205" s="7" t="s">
        <v>2680</v>
      </c>
    </row>
    <row r="206" spans="1:8" ht="33.6" customHeight="1" x14ac:dyDescent="0.3">
      <c r="A206" s="4" t="s">
        <v>2236</v>
      </c>
      <c r="B206" s="12">
        <v>1</v>
      </c>
      <c r="C206" s="4" t="s">
        <v>17</v>
      </c>
      <c r="D206" s="4" t="s">
        <v>18</v>
      </c>
      <c r="E206" s="4" t="s">
        <v>323</v>
      </c>
      <c r="F206" s="4" t="s">
        <v>324</v>
      </c>
      <c r="G206" s="4" t="s">
        <v>326</v>
      </c>
      <c r="H206" s="7" t="s">
        <v>2680</v>
      </c>
    </row>
    <row r="207" spans="1:8" ht="33.6" customHeight="1" x14ac:dyDescent="0.3">
      <c r="A207" s="4" t="s">
        <v>2213</v>
      </c>
      <c r="B207" s="12">
        <v>1</v>
      </c>
      <c r="C207" s="4" t="s">
        <v>17</v>
      </c>
      <c r="D207" s="4" t="s">
        <v>18</v>
      </c>
      <c r="E207" s="4" t="s">
        <v>180</v>
      </c>
      <c r="F207" s="4" t="s">
        <v>181</v>
      </c>
      <c r="G207" s="4" t="s">
        <v>183</v>
      </c>
      <c r="H207" s="7" t="s">
        <v>2680</v>
      </c>
    </row>
    <row r="208" spans="1:8" ht="33.6" customHeight="1" x14ac:dyDescent="0.3">
      <c r="A208" s="4" t="s">
        <v>2190</v>
      </c>
      <c r="B208" s="12">
        <v>1</v>
      </c>
      <c r="C208" s="4" t="s">
        <v>17</v>
      </c>
      <c r="D208" s="4" t="s">
        <v>18</v>
      </c>
      <c r="E208" s="4" t="s">
        <v>25</v>
      </c>
      <c r="F208" s="4" t="s">
        <v>26</v>
      </c>
      <c r="G208" s="4" t="s">
        <v>28</v>
      </c>
      <c r="H208" s="7" t="s">
        <v>2680</v>
      </c>
    </row>
    <row r="209" spans="1:8" ht="33.6" customHeight="1" x14ac:dyDescent="0.3">
      <c r="A209" s="4" t="s">
        <v>2237</v>
      </c>
      <c r="B209" s="12">
        <v>1</v>
      </c>
      <c r="C209" s="4" t="s">
        <v>17</v>
      </c>
      <c r="D209" s="4" t="s">
        <v>18</v>
      </c>
      <c r="E209" s="4" t="s">
        <v>329</v>
      </c>
      <c r="F209" s="4" t="s">
        <v>330</v>
      </c>
      <c r="G209" s="4" t="s">
        <v>332</v>
      </c>
      <c r="H209" s="7" t="s">
        <v>2680</v>
      </c>
    </row>
    <row r="210" spans="1:8" ht="33.6" customHeight="1" x14ac:dyDescent="0.3">
      <c r="A210" s="4" t="s">
        <v>2228</v>
      </c>
      <c r="B210" s="12">
        <v>1</v>
      </c>
      <c r="C210" s="4" t="s">
        <v>17</v>
      </c>
      <c r="D210" s="4" t="s">
        <v>18</v>
      </c>
      <c r="E210" s="4" t="s">
        <v>274</v>
      </c>
      <c r="F210" s="4" t="s">
        <v>275</v>
      </c>
      <c r="G210" s="4" t="s">
        <v>277</v>
      </c>
      <c r="H210" s="7" t="s">
        <v>2680</v>
      </c>
    </row>
    <row r="211" spans="1:8" ht="33.6" customHeight="1" x14ac:dyDescent="0.3">
      <c r="A211" s="4" t="s">
        <v>2230</v>
      </c>
      <c r="B211" s="12">
        <v>1</v>
      </c>
      <c r="C211" s="4" t="s">
        <v>17</v>
      </c>
      <c r="D211" s="4" t="s">
        <v>18</v>
      </c>
      <c r="E211" s="4" t="s">
        <v>287</v>
      </c>
      <c r="F211" s="4" t="s">
        <v>288</v>
      </c>
      <c r="G211" s="4" t="s">
        <v>290</v>
      </c>
      <c r="H211" s="7" t="s">
        <v>2680</v>
      </c>
    </row>
    <row r="212" spans="1:8" ht="33.6" customHeight="1" x14ac:dyDescent="0.3">
      <c r="A212" s="4" t="s">
        <v>2255</v>
      </c>
      <c r="B212" s="12">
        <v>1</v>
      </c>
      <c r="C212" s="4" t="s">
        <v>17</v>
      </c>
      <c r="D212" s="4" t="s">
        <v>18</v>
      </c>
      <c r="E212" s="4" t="s">
        <v>439</v>
      </c>
      <c r="F212" s="4" t="s">
        <v>440</v>
      </c>
      <c r="G212" s="4" t="s">
        <v>442</v>
      </c>
      <c r="H212" s="7" t="s">
        <v>2680</v>
      </c>
    </row>
    <row r="213" spans="1:8" ht="33.6" customHeight="1" x14ac:dyDescent="0.3">
      <c r="A213" s="4" t="s">
        <v>2257</v>
      </c>
      <c r="B213" s="12">
        <v>1</v>
      </c>
      <c r="C213" s="4" t="s">
        <v>17</v>
      </c>
      <c r="D213" s="4" t="s">
        <v>18</v>
      </c>
      <c r="E213" s="4" t="s">
        <v>452</v>
      </c>
      <c r="F213" s="4" t="s">
        <v>453</v>
      </c>
      <c r="G213" s="4" t="s">
        <v>455</v>
      </c>
      <c r="H213" s="7" t="s">
        <v>2680</v>
      </c>
    </row>
    <row r="214" spans="1:8" ht="33.6" customHeight="1" x14ac:dyDescent="0.3">
      <c r="A214" s="4" t="s">
        <v>2208</v>
      </c>
      <c r="B214" s="12">
        <v>1</v>
      </c>
      <c r="C214" s="4" t="s">
        <v>17</v>
      </c>
      <c r="D214" s="4" t="s">
        <v>18</v>
      </c>
      <c r="E214" s="4" t="s">
        <v>148</v>
      </c>
      <c r="F214" s="4" t="s">
        <v>149</v>
      </c>
      <c r="G214" s="4" t="s">
        <v>151</v>
      </c>
      <c r="H214" s="7" t="s">
        <v>2680</v>
      </c>
    </row>
    <row r="215" spans="1:8" ht="33.6" customHeight="1" x14ac:dyDescent="0.3">
      <c r="A215" s="4" t="s">
        <v>2270</v>
      </c>
      <c r="B215" s="12">
        <v>1</v>
      </c>
      <c r="C215" s="4" t="s">
        <v>17</v>
      </c>
      <c r="D215" s="4" t="s">
        <v>18</v>
      </c>
      <c r="E215" s="4" t="s">
        <v>531</v>
      </c>
      <c r="F215" s="4" t="s">
        <v>532</v>
      </c>
      <c r="G215" s="4" t="s">
        <v>534</v>
      </c>
      <c r="H215" s="7" t="s">
        <v>2680</v>
      </c>
    </row>
    <row r="216" spans="1:8" ht="33.6" customHeight="1" x14ac:dyDescent="0.3">
      <c r="A216" s="4" t="s">
        <v>2282</v>
      </c>
      <c r="B216" s="12">
        <v>1</v>
      </c>
      <c r="C216" s="4" t="s">
        <v>17</v>
      </c>
      <c r="D216" s="4" t="s">
        <v>18</v>
      </c>
      <c r="E216" s="4" t="s">
        <v>604</v>
      </c>
      <c r="F216" s="4" t="s">
        <v>605</v>
      </c>
      <c r="G216" s="4" t="s">
        <v>607</v>
      </c>
      <c r="H216" s="7" t="s">
        <v>2680</v>
      </c>
    </row>
    <row r="217" spans="1:8" ht="33.6" customHeight="1" x14ac:dyDescent="0.3">
      <c r="A217" s="4" t="s">
        <v>2284</v>
      </c>
      <c r="B217" s="12">
        <v>1</v>
      </c>
      <c r="C217" s="4" t="s">
        <v>17</v>
      </c>
      <c r="D217" s="4" t="s">
        <v>18</v>
      </c>
      <c r="E217" s="4" t="s">
        <v>617</v>
      </c>
      <c r="F217" s="4" t="s">
        <v>618</v>
      </c>
      <c r="G217" s="4" t="s">
        <v>620</v>
      </c>
      <c r="H217" s="7" t="s">
        <v>2680</v>
      </c>
    </row>
    <row r="218" spans="1:8" ht="33.6" customHeight="1" x14ac:dyDescent="0.3">
      <c r="A218" s="4" t="s">
        <v>2495</v>
      </c>
      <c r="B218" s="12">
        <v>1</v>
      </c>
      <c r="C218" s="4" t="s">
        <v>17</v>
      </c>
      <c r="D218" s="4" t="s">
        <v>1938</v>
      </c>
      <c r="E218" s="4" t="s">
        <v>1968</v>
      </c>
      <c r="F218" s="4" t="s">
        <v>1969</v>
      </c>
      <c r="G218" s="4" t="s">
        <v>1971</v>
      </c>
      <c r="H218" s="7" t="s">
        <v>2680</v>
      </c>
    </row>
    <row r="219" spans="1:8" ht="33.6" customHeight="1" x14ac:dyDescent="0.3">
      <c r="A219" s="4" t="s">
        <v>2304</v>
      </c>
      <c r="B219" s="12">
        <v>1</v>
      </c>
      <c r="C219" s="4" t="s">
        <v>17</v>
      </c>
      <c r="D219" s="4" t="s">
        <v>18</v>
      </c>
      <c r="E219" s="4" t="s">
        <v>739</v>
      </c>
      <c r="F219" s="4" t="s">
        <v>740</v>
      </c>
      <c r="G219" s="4" t="s">
        <v>742</v>
      </c>
      <c r="H219" s="7" t="s">
        <v>2680</v>
      </c>
    </row>
    <row r="220" spans="1:8" ht="33.6" customHeight="1" x14ac:dyDescent="0.3">
      <c r="A220" s="4" t="s">
        <v>2302</v>
      </c>
      <c r="B220" s="12">
        <v>1</v>
      </c>
      <c r="C220" s="4" t="s">
        <v>17</v>
      </c>
      <c r="D220" s="4" t="s">
        <v>18</v>
      </c>
      <c r="E220" s="4" t="s">
        <v>727</v>
      </c>
      <c r="F220" s="4" t="s">
        <v>728</v>
      </c>
      <c r="G220" s="4" t="s">
        <v>730</v>
      </c>
      <c r="H220" s="7" t="s">
        <v>2680</v>
      </c>
    </row>
    <row r="221" spans="1:8" ht="33.6" customHeight="1" x14ac:dyDescent="0.3">
      <c r="A221" s="4" t="s">
        <v>2283</v>
      </c>
      <c r="B221" s="12">
        <v>1</v>
      </c>
      <c r="C221" s="4" t="s">
        <v>17</v>
      </c>
      <c r="D221" s="4" t="s">
        <v>18</v>
      </c>
      <c r="E221" s="4" t="s">
        <v>610</v>
      </c>
      <c r="F221" s="4" t="s">
        <v>611</v>
      </c>
      <c r="G221" s="4" t="s">
        <v>613</v>
      </c>
      <c r="H221" s="7" t="s">
        <v>2680</v>
      </c>
    </row>
    <row r="222" spans="1:8" ht="33.6" customHeight="1" x14ac:dyDescent="0.3">
      <c r="A222" s="4" t="s">
        <v>2292</v>
      </c>
      <c r="B222" s="12">
        <v>1</v>
      </c>
      <c r="C222" s="4" t="s">
        <v>17</v>
      </c>
      <c r="D222" s="4" t="s">
        <v>18</v>
      </c>
      <c r="E222" s="4" t="s">
        <v>667</v>
      </c>
      <c r="F222" s="4" t="s">
        <v>668</v>
      </c>
      <c r="G222" s="4" t="s">
        <v>670</v>
      </c>
      <c r="H222" s="7" t="s">
        <v>2680</v>
      </c>
    </row>
    <row r="223" spans="1:8" ht="33.6" customHeight="1" x14ac:dyDescent="0.3">
      <c r="A223" s="4" t="s">
        <v>2293</v>
      </c>
      <c r="B223" s="12">
        <v>1</v>
      </c>
      <c r="C223" s="4" t="s">
        <v>17</v>
      </c>
      <c r="D223" s="4" t="s">
        <v>18</v>
      </c>
      <c r="E223" s="4" t="s">
        <v>673</v>
      </c>
      <c r="F223" s="4" t="s">
        <v>674</v>
      </c>
      <c r="G223" s="4" t="s">
        <v>676</v>
      </c>
      <c r="H223" s="7" t="s">
        <v>2680</v>
      </c>
    </row>
    <row r="224" spans="1:8" ht="33.6" customHeight="1" x14ac:dyDescent="0.3">
      <c r="A224" s="4" t="s">
        <v>2266</v>
      </c>
      <c r="B224" s="12">
        <v>1</v>
      </c>
      <c r="C224" s="4" t="s">
        <v>17</v>
      </c>
      <c r="D224" s="4" t="s">
        <v>18</v>
      </c>
      <c r="E224" s="4" t="s">
        <v>507</v>
      </c>
      <c r="F224" s="4" t="s">
        <v>508</v>
      </c>
      <c r="G224" s="4" t="s">
        <v>510</v>
      </c>
      <c r="H224" s="7" t="s">
        <v>2680</v>
      </c>
    </row>
    <row r="225" spans="1:8" ht="33.6" customHeight="1" x14ac:dyDescent="0.3">
      <c r="A225" s="4" t="s">
        <v>2295</v>
      </c>
      <c r="B225" s="12">
        <v>1</v>
      </c>
      <c r="C225" s="4" t="s">
        <v>17</v>
      </c>
      <c r="D225" s="4" t="s">
        <v>18</v>
      </c>
      <c r="E225" s="4" t="s">
        <v>685</v>
      </c>
      <c r="F225" s="4" t="s">
        <v>686</v>
      </c>
      <c r="G225" s="4" t="s">
        <v>688</v>
      </c>
      <c r="H225" s="7" t="s">
        <v>2680</v>
      </c>
    </row>
    <row r="226" spans="1:8" ht="33.6" customHeight="1" x14ac:dyDescent="0.3">
      <c r="A226" s="4" t="s">
        <v>2212</v>
      </c>
      <c r="B226" s="12">
        <v>1</v>
      </c>
      <c r="C226" s="4" t="s">
        <v>17</v>
      </c>
      <c r="D226" s="4" t="s">
        <v>18</v>
      </c>
      <c r="E226" s="4" t="s">
        <v>174</v>
      </c>
      <c r="F226" s="4" t="s">
        <v>175</v>
      </c>
      <c r="G226" s="4" t="s">
        <v>177</v>
      </c>
      <c r="H226" s="7" t="s">
        <v>2680</v>
      </c>
    </row>
    <row r="227" spans="1:8" ht="33.6" customHeight="1" x14ac:dyDescent="0.3">
      <c r="A227" s="4" t="s">
        <v>2226</v>
      </c>
      <c r="B227" s="12">
        <v>1</v>
      </c>
      <c r="C227" s="4" t="s">
        <v>17</v>
      </c>
      <c r="D227" s="4" t="s">
        <v>18</v>
      </c>
      <c r="E227" s="4" t="s">
        <v>261</v>
      </c>
      <c r="F227" s="4" t="s">
        <v>262</v>
      </c>
      <c r="G227" s="4" t="s">
        <v>264</v>
      </c>
      <c r="H227" s="7" t="s">
        <v>2680</v>
      </c>
    </row>
    <row r="228" spans="1:8" ht="33.6" customHeight="1" x14ac:dyDescent="0.3">
      <c r="A228" s="4" t="s">
        <v>2199</v>
      </c>
      <c r="B228" s="12">
        <v>1</v>
      </c>
      <c r="C228" s="4" t="s">
        <v>17</v>
      </c>
      <c r="D228" s="4" t="s">
        <v>18</v>
      </c>
      <c r="E228" s="4" t="s">
        <v>88</v>
      </c>
      <c r="F228" s="4" t="s">
        <v>89</v>
      </c>
      <c r="G228" s="4" t="s">
        <v>91</v>
      </c>
      <c r="H228" s="7" t="s">
        <v>2680</v>
      </c>
    </row>
    <row r="229" spans="1:8" ht="33.6" customHeight="1" x14ac:dyDescent="0.3">
      <c r="A229" s="4" t="s">
        <v>2216</v>
      </c>
      <c r="B229" s="12">
        <v>1</v>
      </c>
      <c r="C229" s="4" t="s">
        <v>17</v>
      </c>
      <c r="D229" s="4" t="s">
        <v>18</v>
      </c>
      <c r="E229" s="4" t="s">
        <v>198</v>
      </c>
      <c r="F229" s="4" t="s">
        <v>199</v>
      </c>
      <c r="G229" s="4" t="s">
        <v>201</v>
      </c>
      <c r="H229" s="7" t="s">
        <v>2680</v>
      </c>
    </row>
    <row r="230" spans="1:8" ht="33.6" customHeight="1" x14ac:dyDescent="0.3">
      <c r="A230" s="4" t="s">
        <v>2243</v>
      </c>
      <c r="B230" s="12">
        <v>1</v>
      </c>
      <c r="C230" s="4" t="s">
        <v>17</v>
      </c>
      <c r="D230" s="4" t="s">
        <v>18</v>
      </c>
      <c r="E230" s="4" t="s">
        <v>366</v>
      </c>
      <c r="F230" s="4" t="s">
        <v>367</v>
      </c>
      <c r="G230" s="4" t="s">
        <v>369</v>
      </c>
      <c r="H230" s="7" t="s">
        <v>2680</v>
      </c>
    </row>
    <row r="231" spans="1:8" ht="33.6" customHeight="1" x14ac:dyDescent="0.3">
      <c r="A231" s="4" t="s">
        <v>2267</v>
      </c>
      <c r="B231" s="12">
        <v>1</v>
      </c>
      <c r="C231" s="4" t="s">
        <v>17</v>
      </c>
      <c r="D231" s="4" t="s">
        <v>18</v>
      </c>
      <c r="E231" s="4" t="s">
        <v>513</v>
      </c>
      <c r="F231" s="4" t="s">
        <v>514</v>
      </c>
      <c r="G231" s="4" t="s">
        <v>516</v>
      </c>
      <c r="H231" s="7" t="s">
        <v>2680</v>
      </c>
    </row>
    <row r="232" spans="1:8" ht="33.6" customHeight="1" x14ac:dyDescent="0.3">
      <c r="A232" s="4" t="s">
        <v>2361</v>
      </c>
      <c r="B232" s="12">
        <v>1</v>
      </c>
      <c r="C232" s="4" t="s">
        <v>773</v>
      </c>
      <c r="D232" s="4" t="s">
        <v>18</v>
      </c>
      <c r="E232" s="4" t="s">
        <v>1087</v>
      </c>
      <c r="F232" s="4" t="s">
        <v>1088</v>
      </c>
      <c r="G232" s="4" t="s">
        <v>1090</v>
      </c>
      <c r="H232" s="7" t="s">
        <v>2680</v>
      </c>
    </row>
    <row r="233" spans="1:8" ht="33.6" customHeight="1" x14ac:dyDescent="0.3">
      <c r="A233" s="4" t="s">
        <v>2386</v>
      </c>
      <c r="B233" s="12">
        <v>1</v>
      </c>
      <c r="C233" s="4" t="s">
        <v>773</v>
      </c>
      <c r="D233" s="4" t="s">
        <v>18</v>
      </c>
      <c r="E233" s="4" t="s">
        <v>1237</v>
      </c>
      <c r="F233" s="4" t="s">
        <v>1238</v>
      </c>
      <c r="G233" s="4" t="s">
        <v>1240</v>
      </c>
      <c r="H233" s="7" t="s">
        <v>2680</v>
      </c>
    </row>
    <row r="234" spans="1:8" ht="33.6" customHeight="1" x14ac:dyDescent="0.3">
      <c r="A234" s="4" t="s">
        <v>2247</v>
      </c>
      <c r="B234" s="12">
        <v>1</v>
      </c>
      <c r="C234" s="4" t="s">
        <v>17</v>
      </c>
      <c r="D234" s="4" t="s">
        <v>18</v>
      </c>
      <c r="E234" s="4" t="s">
        <v>390</v>
      </c>
      <c r="F234" s="4" t="s">
        <v>391</v>
      </c>
      <c r="G234" s="4" t="s">
        <v>393</v>
      </c>
      <c r="H234" s="7" t="s">
        <v>2680</v>
      </c>
    </row>
    <row r="235" spans="1:8" ht="33.6" customHeight="1" x14ac:dyDescent="0.3">
      <c r="A235" s="4" t="s">
        <v>2220</v>
      </c>
      <c r="B235" s="12">
        <v>1</v>
      </c>
      <c r="C235" s="4" t="s">
        <v>17</v>
      </c>
      <c r="D235" s="4" t="s">
        <v>18</v>
      </c>
      <c r="E235" s="4" t="s">
        <v>223</v>
      </c>
      <c r="F235" s="4" t="s">
        <v>224</v>
      </c>
      <c r="G235" s="4" t="s">
        <v>226</v>
      </c>
      <c r="H235" s="7" t="s">
        <v>2680</v>
      </c>
    </row>
    <row r="236" spans="1:8" ht="33.6" customHeight="1" x14ac:dyDescent="0.3">
      <c r="A236" s="4" t="s">
        <v>2251</v>
      </c>
      <c r="B236" s="12">
        <v>1</v>
      </c>
      <c r="C236" s="4" t="s">
        <v>17</v>
      </c>
      <c r="D236" s="4" t="s">
        <v>18</v>
      </c>
      <c r="E236" s="4" t="s">
        <v>414</v>
      </c>
      <c r="F236" s="4" t="s">
        <v>415</v>
      </c>
      <c r="G236" s="4" t="s">
        <v>417</v>
      </c>
      <c r="H236" s="7" t="s">
        <v>2680</v>
      </c>
    </row>
    <row r="237" spans="1:8" ht="33.6" customHeight="1" x14ac:dyDescent="0.3">
      <c r="A237" s="4" t="s">
        <v>2238</v>
      </c>
      <c r="B237" s="12">
        <v>1</v>
      </c>
      <c r="C237" s="4" t="s">
        <v>17</v>
      </c>
      <c r="D237" s="4" t="s">
        <v>18</v>
      </c>
      <c r="E237" s="4" t="s">
        <v>335</v>
      </c>
      <c r="F237" s="4" t="s">
        <v>336</v>
      </c>
      <c r="G237" s="4" t="s">
        <v>338</v>
      </c>
      <c r="H237" s="7" t="s">
        <v>2680</v>
      </c>
    </row>
    <row r="238" spans="1:8" ht="33.6" customHeight="1" x14ac:dyDescent="0.3">
      <c r="A238" s="4" t="s">
        <v>2265</v>
      </c>
      <c r="B238" s="12">
        <v>1</v>
      </c>
      <c r="C238" s="4" t="s">
        <v>17</v>
      </c>
      <c r="D238" s="4" t="s">
        <v>18</v>
      </c>
      <c r="E238" s="4" t="s">
        <v>501</v>
      </c>
      <c r="F238" s="4" t="s">
        <v>502</v>
      </c>
      <c r="G238" s="4" t="s">
        <v>504</v>
      </c>
      <c r="H238" s="7" t="s">
        <v>2680</v>
      </c>
    </row>
    <row r="239" spans="1:8" ht="33.6" customHeight="1" x14ac:dyDescent="0.3">
      <c r="A239" s="4" t="s">
        <v>2256</v>
      </c>
      <c r="B239" s="12">
        <v>1</v>
      </c>
      <c r="C239" s="4" t="s">
        <v>17</v>
      </c>
      <c r="D239" s="4" t="s">
        <v>18</v>
      </c>
      <c r="E239" s="4" t="s">
        <v>445</v>
      </c>
      <c r="F239" s="4" t="s">
        <v>446</v>
      </c>
      <c r="G239" s="4" t="s">
        <v>448</v>
      </c>
      <c r="H239" s="7" t="s">
        <v>2680</v>
      </c>
    </row>
    <row r="240" spans="1:8" ht="33.6" customHeight="1" x14ac:dyDescent="0.3">
      <c r="A240" s="4" t="s">
        <v>2215</v>
      </c>
      <c r="B240" s="12">
        <v>1</v>
      </c>
      <c r="C240" s="4" t="s">
        <v>17</v>
      </c>
      <c r="D240" s="4" t="s">
        <v>18</v>
      </c>
      <c r="E240" s="4" t="s">
        <v>192</v>
      </c>
      <c r="F240" s="4" t="s">
        <v>193</v>
      </c>
      <c r="G240" s="4" t="s">
        <v>195</v>
      </c>
      <c r="H240" s="7" t="s">
        <v>2680</v>
      </c>
    </row>
    <row r="241" spans="1:8" ht="33.6" customHeight="1" x14ac:dyDescent="0.3">
      <c r="A241" s="4" t="s">
        <v>2289</v>
      </c>
      <c r="B241" s="12">
        <v>1</v>
      </c>
      <c r="C241" s="4" t="s">
        <v>17</v>
      </c>
      <c r="D241" s="4" t="s">
        <v>18</v>
      </c>
      <c r="E241" s="4" t="s">
        <v>648</v>
      </c>
      <c r="F241" s="4" t="s">
        <v>649</v>
      </c>
      <c r="G241" s="4" t="s">
        <v>651</v>
      </c>
      <c r="H241" s="7" t="s">
        <v>2680</v>
      </c>
    </row>
    <row r="242" spans="1:8" ht="33.6" customHeight="1" x14ac:dyDescent="0.3">
      <c r="A242" s="4" t="s">
        <v>2271</v>
      </c>
      <c r="B242" s="12">
        <v>1</v>
      </c>
      <c r="C242" s="4" t="s">
        <v>17</v>
      </c>
      <c r="D242" s="4" t="s">
        <v>18</v>
      </c>
      <c r="E242" s="4" t="s">
        <v>537</v>
      </c>
      <c r="F242" s="4" t="s">
        <v>538</v>
      </c>
      <c r="G242" s="4" t="s">
        <v>540</v>
      </c>
      <c r="H242" s="7" t="s">
        <v>2680</v>
      </c>
    </row>
    <row r="243" spans="1:8" ht="33.6" customHeight="1" x14ac:dyDescent="0.3">
      <c r="A243" s="4" t="s">
        <v>2234</v>
      </c>
      <c r="B243" s="12">
        <v>1</v>
      </c>
      <c r="C243" s="4" t="s">
        <v>17</v>
      </c>
      <c r="D243" s="4" t="s">
        <v>18</v>
      </c>
      <c r="E243" s="4" t="s">
        <v>311</v>
      </c>
      <c r="F243" s="4" t="s">
        <v>312</v>
      </c>
      <c r="G243" s="4" t="s">
        <v>314</v>
      </c>
      <c r="H243" s="7" t="s">
        <v>2680</v>
      </c>
    </row>
    <row r="244" spans="1:8" ht="33.6" customHeight="1" x14ac:dyDescent="0.3">
      <c r="A244" s="4" t="s">
        <v>2308</v>
      </c>
      <c r="B244" s="12">
        <v>1</v>
      </c>
      <c r="C244" s="4" t="s">
        <v>17</v>
      </c>
      <c r="D244" s="4" t="s">
        <v>18</v>
      </c>
      <c r="E244" s="4" t="s">
        <v>763</v>
      </c>
      <c r="F244" s="4" t="s">
        <v>764</v>
      </c>
      <c r="G244" s="4" t="s">
        <v>766</v>
      </c>
      <c r="H244" s="7" t="s">
        <v>2680</v>
      </c>
    </row>
    <row r="245" spans="1:8" ht="33.6" customHeight="1" x14ac:dyDescent="0.3">
      <c r="A245" s="4" t="s">
        <v>2281</v>
      </c>
      <c r="B245" s="12">
        <v>1</v>
      </c>
      <c r="C245" s="4" t="s">
        <v>17</v>
      </c>
      <c r="D245" s="4" t="s">
        <v>18</v>
      </c>
      <c r="E245" s="4" t="s">
        <v>598</v>
      </c>
      <c r="F245" s="4" t="s">
        <v>599</v>
      </c>
      <c r="G245" s="4" t="s">
        <v>601</v>
      </c>
      <c r="H245" s="7" t="s">
        <v>2680</v>
      </c>
    </row>
    <row r="246" spans="1:8" ht="33.6" customHeight="1" x14ac:dyDescent="0.3">
      <c r="A246" s="4" t="s">
        <v>2296</v>
      </c>
      <c r="B246" s="12">
        <v>1</v>
      </c>
      <c r="C246" s="4" t="s">
        <v>17</v>
      </c>
      <c r="D246" s="4" t="s">
        <v>18</v>
      </c>
      <c r="E246" s="4" t="s">
        <v>691</v>
      </c>
      <c r="F246" s="4" t="s">
        <v>692</v>
      </c>
      <c r="G246" s="4" t="s">
        <v>694</v>
      </c>
      <c r="H246" s="7" t="s">
        <v>2680</v>
      </c>
    </row>
    <row r="247" spans="1:8" ht="33.6" customHeight="1" x14ac:dyDescent="0.3">
      <c r="A247" s="4" t="s">
        <v>2469</v>
      </c>
      <c r="B247" s="12">
        <v>1</v>
      </c>
      <c r="C247" s="4" t="s">
        <v>1494</v>
      </c>
      <c r="D247" s="4" t="s">
        <v>18</v>
      </c>
      <c r="E247" s="4" t="s">
        <v>1777</v>
      </c>
      <c r="F247" s="4" t="s">
        <v>1778</v>
      </c>
      <c r="G247" s="4" t="s">
        <v>1780</v>
      </c>
      <c r="H247" s="7" t="s">
        <v>2680</v>
      </c>
    </row>
    <row r="248" spans="1:8" ht="33.6" customHeight="1" x14ac:dyDescent="0.3">
      <c r="A248" s="4" t="s">
        <v>2373</v>
      </c>
      <c r="B248" s="12">
        <v>1</v>
      </c>
      <c r="C248" s="4" t="s">
        <v>773</v>
      </c>
      <c r="D248" s="4" t="s">
        <v>18</v>
      </c>
      <c r="E248" s="4" t="s">
        <v>1159</v>
      </c>
      <c r="F248" s="4" t="s">
        <v>1160</v>
      </c>
      <c r="G248" s="4" t="s">
        <v>1162</v>
      </c>
      <c r="H248" s="7" t="s">
        <v>2680</v>
      </c>
    </row>
    <row r="249" spans="1:8" ht="33.6" customHeight="1" x14ac:dyDescent="0.3">
      <c r="A249" s="4" t="s">
        <v>2427</v>
      </c>
      <c r="B249" s="12">
        <v>1</v>
      </c>
      <c r="C249" s="4" t="s">
        <v>773</v>
      </c>
      <c r="D249" s="4" t="s">
        <v>18</v>
      </c>
      <c r="E249" s="4" t="s">
        <v>1478</v>
      </c>
      <c r="F249" s="4" t="s">
        <v>1479</v>
      </c>
      <c r="G249" s="4" t="s">
        <v>1481</v>
      </c>
      <c r="H249" s="7" t="s">
        <v>2680</v>
      </c>
    </row>
    <row r="250" spans="1:8" ht="33.6" customHeight="1" x14ac:dyDescent="0.3">
      <c r="A250" s="4" t="s">
        <v>2416</v>
      </c>
      <c r="B250" s="12">
        <v>1</v>
      </c>
      <c r="C250" s="4" t="s">
        <v>773</v>
      </c>
      <c r="D250" s="4" t="s">
        <v>18</v>
      </c>
      <c r="E250" s="4" t="s">
        <v>1417</v>
      </c>
      <c r="F250" s="4" t="s">
        <v>1418</v>
      </c>
      <c r="G250" s="4" t="s">
        <v>1420</v>
      </c>
      <c r="H250" s="7" t="s">
        <v>2680</v>
      </c>
    </row>
    <row r="251" spans="1:8" ht="33.6" customHeight="1" x14ac:dyDescent="0.3">
      <c r="A251" s="4" t="s">
        <v>2378</v>
      </c>
      <c r="B251" s="12">
        <v>1</v>
      </c>
      <c r="C251" s="4" t="s">
        <v>773</v>
      </c>
      <c r="D251" s="4" t="s">
        <v>18</v>
      </c>
      <c r="E251" s="4" t="s">
        <v>1189</v>
      </c>
      <c r="F251" s="4" t="s">
        <v>1190</v>
      </c>
      <c r="G251" s="4" t="s">
        <v>1192</v>
      </c>
      <c r="H251" s="7" t="s">
        <v>2680</v>
      </c>
    </row>
    <row r="252" spans="1:8" ht="33.6" customHeight="1" x14ac:dyDescent="0.3">
      <c r="A252" s="4" t="s">
        <v>2424</v>
      </c>
      <c r="B252" s="12">
        <v>1</v>
      </c>
      <c r="C252" s="4" t="s">
        <v>773</v>
      </c>
      <c r="D252" s="4" t="s">
        <v>18</v>
      </c>
      <c r="E252" s="4" t="s">
        <v>1464</v>
      </c>
      <c r="F252" s="4" t="s">
        <v>1465</v>
      </c>
      <c r="G252" s="4" t="s">
        <v>1467</v>
      </c>
      <c r="H252" s="7" t="s">
        <v>2680</v>
      </c>
    </row>
    <row r="253" spans="1:8" ht="33.6" customHeight="1" x14ac:dyDescent="0.3">
      <c r="A253" s="4" t="s">
        <v>2389</v>
      </c>
      <c r="B253" s="12">
        <v>1</v>
      </c>
      <c r="C253" s="4" t="s">
        <v>773</v>
      </c>
      <c r="D253" s="4" t="s">
        <v>18</v>
      </c>
      <c r="E253" s="4" t="s">
        <v>1256</v>
      </c>
      <c r="F253" s="4" t="s">
        <v>1257</v>
      </c>
      <c r="G253" s="4" t="s">
        <v>1259</v>
      </c>
      <c r="H253" s="7" t="s">
        <v>2680</v>
      </c>
    </row>
    <row r="254" spans="1:8" ht="33.6" customHeight="1" x14ac:dyDescent="0.3">
      <c r="A254" s="4" t="s">
        <v>2413</v>
      </c>
      <c r="B254" s="12">
        <v>1</v>
      </c>
      <c r="C254" s="4" t="s">
        <v>773</v>
      </c>
      <c r="D254" s="4" t="s">
        <v>18</v>
      </c>
      <c r="E254" s="4" t="s">
        <v>1399</v>
      </c>
      <c r="F254" s="4" t="s">
        <v>1400</v>
      </c>
      <c r="G254" s="4" t="s">
        <v>1402</v>
      </c>
      <c r="H254" s="7" t="s">
        <v>2680</v>
      </c>
    </row>
    <row r="255" spans="1:8" ht="33.6" customHeight="1" x14ac:dyDescent="0.3">
      <c r="A255" s="4" t="s">
        <v>2410</v>
      </c>
      <c r="B255" s="12">
        <v>1</v>
      </c>
      <c r="C255" s="4" t="s">
        <v>773</v>
      </c>
      <c r="D255" s="4" t="s">
        <v>18</v>
      </c>
      <c r="E255" s="4" t="s">
        <v>1381</v>
      </c>
      <c r="F255" s="4" t="s">
        <v>1382</v>
      </c>
      <c r="G255" s="4" t="s">
        <v>1384</v>
      </c>
      <c r="H255" s="7" t="s">
        <v>2680</v>
      </c>
    </row>
    <row r="256" spans="1:8" ht="33.6" customHeight="1" x14ac:dyDescent="0.3">
      <c r="A256" s="4" t="s">
        <v>2409</v>
      </c>
      <c r="B256" s="12">
        <v>1</v>
      </c>
      <c r="C256" s="4" t="s">
        <v>773</v>
      </c>
      <c r="D256" s="4" t="s">
        <v>18</v>
      </c>
      <c r="E256" s="4" t="s">
        <v>1375</v>
      </c>
      <c r="F256" s="4" t="s">
        <v>1376</v>
      </c>
      <c r="G256" s="4" t="s">
        <v>1378</v>
      </c>
      <c r="H256" s="7" t="s">
        <v>2680</v>
      </c>
    </row>
    <row r="257" spans="1:8" ht="33.6" customHeight="1" x14ac:dyDescent="0.3">
      <c r="A257" s="4" t="s">
        <v>2415</v>
      </c>
      <c r="B257" s="12">
        <v>1</v>
      </c>
      <c r="C257" s="4" t="s">
        <v>773</v>
      </c>
      <c r="D257" s="4" t="s">
        <v>18</v>
      </c>
      <c r="E257" s="4" t="s">
        <v>1411</v>
      </c>
      <c r="F257" s="4" t="s">
        <v>1412</v>
      </c>
      <c r="G257" s="4" t="s">
        <v>1414</v>
      </c>
      <c r="H257" s="7" t="s">
        <v>2680</v>
      </c>
    </row>
    <row r="258" spans="1:8" ht="33.6" customHeight="1" x14ac:dyDescent="0.3">
      <c r="A258" s="4" t="s">
        <v>2417</v>
      </c>
      <c r="B258" s="12">
        <v>1</v>
      </c>
      <c r="C258" s="4" t="s">
        <v>773</v>
      </c>
      <c r="D258" s="4" t="s">
        <v>18</v>
      </c>
      <c r="E258" s="4" t="s">
        <v>1423</v>
      </c>
      <c r="F258" s="4" t="s">
        <v>1424</v>
      </c>
      <c r="G258" s="4" t="s">
        <v>1426</v>
      </c>
      <c r="H258" s="7" t="s">
        <v>2680</v>
      </c>
    </row>
    <row r="259" spans="1:8" ht="33.6" customHeight="1" x14ac:dyDescent="0.3">
      <c r="A259" s="4" t="s">
        <v>2408</v>
      </c>
      <c r="B259" s="12">
        <v>1</v>
      </c>
      <c r="C259" s="4" t="s">
        <v>773</v>
      </c>
      <c r="D259" s="4" t="s">
        <v>18</v>
      </c>
      <c r="E259" s="4" t="s">
        <v>1369</v>
      </c>
      <c r="F259" s="4" t="s">
        <v>1370</v>
      </c>
      <c r="G259" s="4" t="s">
        <v>1372</v>
      </c>
      <c r="H259" s="7" t="s">
        <v>2680</v>
      </c>
    </row>
    <row r="260" spans="1:8" ht="33.6" customHeight="1" x14ac:dyDescent="0.3">
      <c r="A260" s="4" t="s">
        <v>2403</v>
      </c>
      <c r="B260" s="12">
        <v>1</v>
      </c>
      <c r="C260" s="4" t="s">
        <v>773</v>
      </c>
      <c r="D260" s="4" t="s">
        <v>18</v>
      </c>
      <c r="E260" s="4" t="s">
        <v>1338</v>
      </c>
      <c r="F260" s="4" t="s">
        <v>1339</v>
      </c>
      <c r="G260" s="4" t="s">
        <v>1341</v>
      </c>
      <c r="H260" s="7" t="s">
        <v>2680</v>
      </c>
    </row>
    <row r="261" spans="1:8" ht="33.6" customHeight="1" x14ac:dyDescent="0.3">
      <c r="A261" s="4" t="s">
        <v>2393</v>
      </c>
      <c r="B261" s="12">
        <v>1</v>
      </c>
      <c r="C261" s="4" t="s">
        <v>773</v>
      </c>
      <c r="D261" s="4" t="s">
        <v>18</v>
      </c>
      <c r="E261" s="4" t="s">
        <v>1280</v>
      </c>
      <c r="F261" s="4" t="s">
        <v>1281</v>
      </c>
      <c r="G261" s="4" t="s">
        <v>1283</v>
      </c>
      <c r="H261" s="7" t="s">
        <v>2680</v>
      </c>
    </row>
    <row r="262" spans="1:8" ht="33.6" customHeight="1" x14ac:dyDescent="0.3">
      <c r="A262" s="4" t="s">
        <v>2423</v>
      </c>
      <c r="B262" s="12">
        <v>1</v>
      </c>
      <c r="C262" s="4" t="s">
        <v>773</v>
      </c>
      <c r="D262" s="4" t="s">
        <v>18</v>
      </c>
      <c r="E262" s="4" t="s">
        <v>1458</v>
      </c>
      <c r="F262" s="4" t="s">
        <v>1459</v>
      </c>
      <c r="G262" s="4" t="s">
        <v>1461</v>
      </c>
      <c r="H262" s="7" t="s">
        <v>2680</v>
      </c>
    </row>
    <row r="263" spans="1:8" ht="33.6" customHeight="1" x14ac:dyDescent="0.3">
      <c r="A263" s="4" t="s">
        <v>2422</v>
      </c>
      <c r="B263" s="12">
        <v>1</v>
      </c>
      <c r="C263" s="4" t="s">
        <v>773</v>
      </c>
      <c r="D263" s="4" t="s">
        <v>18</v>
      </c>
      <c r="E263" s="4" t="s">
        <v>1452</v>
      </c>
      <c r="F263" s="4" t="s">
        <v>1453</v>
      </c>
      <c r="G263" s="4" t="s">
        <v>1455</v>
      </c>
      <c r="H263" s="7" t="s">
        <v>2680</v>
      </c>
    </row>
    <row r="264" spans="1:8" ht="33.6" customHeight="1" x14ac:dyDescent="0.3">
      <c r="A264" s="4" t="s">
        <v>2421</v>
      </c>
      <c r="B264" s="12">
        <v>1</v>
      </c>
      <c r="C264" s="4" t="s">
        <v>773</v>
      </c>
      <c r="D264" s="4" t="s">
        <v>18</v>
      </c>
      <c r="E264" s="4" t="s">
        <v>1446</v>
      </c>
      <c r="F264" s="4" t="s">
        <v>1447</v>
      </c>
      <c r="G264" s="4" t="s">
        <v>1449</v>
      </c>
      <c r="H264" s="7" t="s">
        <v>2680</v>
      </c>
    </row>
    <row r="265" spans="1:8" ht="33.6" customHeight="1" x14ac:dyDescent="0.3">
      <c r="A265" s="4" t="s">
        <v>2404</v>
      </c>
      <c r="B265" s="12">
        <v>1</v>
      </c>
      <c r="C265" s="4" t="s">
        <v>773</v>
      </c>
      <c r="D265" s="4" t="s">
        <v>18</v>
      </c>
      <c r="E265" s="4" t="s">
        <v>1345</v>
      </c>
      <c r="F265" s="4" t="s">
        <v>1346</v>
      </c>
      <c r="G265" s="4" t="s">
        <v>1348</v>
      </c>
      <c r="H265" s="7" t="s">
        <v>2680</v>
      </c>
    </row>
    <row r="266" spans="1:8" ht="33.6" customHeight="1" x14ac:dyDescent="0.3">
      <c r="A266" s="4" t="s">
        <v>2419</v>
      </c>
      <c r="B266" s="12">
        <v>1</v>
      </c>
      <c r="C266" s="4" t="s">
        <v>773</v>
      </c>
      <c r="D266" s="4" t="s">
        <v>18</v>
      </c>
      <c r="E266" s="4" t="s">
        <v>1433</v>
      </c>
      <c r="F266" s="4" t="s">
        <v>1434</v>
      </c>
      <c r="G266" s="4" t="s">
        <v>1436</v>
      </c>
      <c r="H266" s="7" t="s">
        <v>2680</v>
      </c>
    </row>
    <row r="267" spans="1:8" ht="33.6" customHeight="1" x14ac:dyDescent="0.3">
      <c r="A267" s="4" t="s">
        <v>2400</v>
      </c>
      <c r="B267" s="12">
        <v>1</v>
      </c>
      <c r="C267" s="4" t="s">
        <v>773</v>
      </c>
      <c r="D267" s="4" t="s">
        <v>18</v>
      </c>
      <c r="E267" s="4" t="s">
        <v>1322</v>
      </c>
      <c r="F267" s="4" t="s">
        <v>1323</v>
      </c>
      <c r="G267" s="4" t="s">
        <v>1325</v>
      </c>
      <c r="H267" s="7" t="s">
        <v>2680</v>
      </c>
    </row>
    <row r="268" spans="1:8" ht="33.6" customHeight="1" x14ac:dyDescent="0.3">
      <c r="A268" s="4" t="s">
        <v>2406</v>
      </c>
      <c r="B268" s="12">
        <v>1</v>
      </c>
      <c r="C268" s="4" t="s">
        <v>773</v>
      </c>
      <c r="D268" s="4" t="s">
        <v>18</v>
      </c>
      <c r="E268" s="4" t="s">
        <v>1357</v>
      </c>
      <c r="F268" s="4" t="s">
        <v>1358</v>
      </c>
      <c r="G268" s="4" t="s">
        <v>1360</v>
      </c>
      <c r="H268" s="7" t="s">
        <v>2680</v>
      </c>
    </row>
    <row r="269" spans="1:8" ht="33.6" customHeight="1" x14ac:dyDescent="0.3">
      <c r="A269" s="4" t="s">
        <v>2354</v>
      </c>
      <c r="B269" s="12">
        <v>1</v>
      </c>
      <c r="C269" s="4" t="s">
        <v>773</v>
      </c>
      <c r="D269" s="4" t="s">
        <v>18</v>
      </c>
      <c r="E269" s="4" t="s">
        <v>1045</v>
      </c>
      <c r="F269" s="4" t="s">
        <v>1046</v>
      </c>
      <c r="G269" s="4" t="s">
        <v>1048</v>
      </c>
      <c r="H269" s="7" t="s">
        <v>2680</v>
      </c>
    </row>
    <row r="270" spans="1:8" ht="33.6" customHeight="1" x14ac:dyDescent="0.3">
      <c r="A270" s="4" t="s">
        <v>2376</v>
      </c>
      <c r="B270" s="12">
        <v>1</v>
      </c>
      <c r="C270" s="4" t="s">
        <v>773</v>
      </c>
      <c r="D270" s="4" t="s">
        <v>18</v>
      </c>
      <c r="E270" s="4" t="s">
        <v>1177</v>
      </c>
      <c r="F270" s="4" t="s">
        <v>1178</v>
      </c>
      <c r="G270" s="4" t="s">
        <v>1180</v>
      </c>
      <c r="H270" s="7" t="s">
        <v>2680</v>
      </c>
    </row>
    <row r="271" spans="1:8" ht="33.6" customHeight="1" x14ac:dyDescent="0.3">
      <c r="A271" s="4" t="s">
        <v>2388</v>
      </c>
      <c r="B271" s="12">
        <v>1</v>
      </c>
      <c r="C271" s="4" t="s">
        <v>773</v>
      </c>
      <c r="D271" s="4" t="s">
        <v>18</v>
      </c>
      <c r="E271" s="4" t="s">
        <v>1249</v>
      </c>
      <c r="F271" s="4" t="s">
        <v>1250</v>
      </c>
      <c r="G271" s="4" t="s">
        <v>1252</v>
      </c>
      <c r="H271" s="7" t="s">
        <v>2680</v>
      </c>
    </row>
    <row r="272" spans="1:8" ht="33.6" customHeight="1" x14ac:dyDescent="0.3">
      <c r="A272" s="4" t="s">
        <v>2397</v>
      </c>
      <c r="B272" s="12">
        <v>1</v>
      </c>
      <c r="C272" s="4" t="s">
        <v>773</v>
      </c>
      <c r="D272" s="4" t="s">
        <v>18</v>
      </c>
      <c r="E272" s="4" t="s">
        <v>1304</v>
      </c>
      <c r="F272" s="4" t="s">
        <v>1305</v>
      </c>
      <c r="G272" s="4" t="s">
        <v>1307</v>
      </c>
      <c r="H272" s="7" t="s">
        <v>2680</v>
      </c>
    </row>
    <row r="273" spans="1:8" ht="33.6" customHeight="1" x14ac:dyDescent="0.3">
      <c r="A273" s="4" t="s">
        <v>2364</v>
      </c>
      <c r="B273" s="12">
        <v>1</v>
      </c>
      <c r="C273" s="4" t="s">
        <v>773</v>
      </c>
      <c r="D273" s="4" t="s">
        <v>18</v>
      </c>
      <c r="E273" s="4" t="s">
        <v>1105</v>
      </c>
      <c r="F273" s="4" t="s">
        <v>1106</v>
      </c>
      <c r="G273" s="4" t="s">
        <v>1108</v>
      </c>
      <c r="H273" s="7" t="s">
        <v>2680</v>
      </c>
    </row>
    <row r="274" spans="1:8" ht="33.6" customHeight="1" x14ac:dyDescent="0.3">
      <c r="A274" s="4" t="s">
        <v>2350</v>
      </c>
      <c r="B274" s="12">
        <v>1</v>
      </c>
      <c r="C274" s="4" t="s">
        <v>773</v>
      </c>
      <c r="D274" s="4" t="s">
        <v>18</v>
      </c>
      <c r="E274" s="4" t="s">
        <v>1021</v>
      </c>
      <c r="F274" s="4" t="s">
        <v>1022</v>
      </c>
      <c r="G274" s="4" t="s">
        <v>1024</v>
      </c>
      <c r="H274" s="7" t="s">
        <v>2680</v>
      </c>
    </row>
    <row r="275" spans="1:8" ht="33.6" customHeight="1" x14ac:dyDescent="0.3">
      <c r="A275" s="4" t="s">
        <v>2442</v>
      </c>
      <c r="B275" s="12">
        <v>1</v>
      </c>
      <c r="C275" s="4" t="s">
        <v>1494</v>
      </c>
      <c r="D275" s="4" t="s">
        <v>18</v>
      </c>
      <c r="E275" s="4" t="s">
        <v>1589</v>
      </c>
      <c r="F275" s="4" t="s">
        <v>1590</v>
      </c>
      <c r="G275" s="4" t="s">
        <v>1592</v>
      </c>
      <c r="H275" s="7" t="s">
        <v>2680</v>
      </c>
    </row>
    <row r="276" spans="1:8" ht="33.6" customHeight="1" x14ac:dyDescent="0.3">
      <c r="A276" s="4" t="s">
        <v>2368</v>
      </c>
      <c r="B276" s="12">
        <v>1</v>
      </c>
      <c r="C276" s="4" t="s">
        <v>773</v>
      </c>
      <c r="D276" s="4" t="s">
        <v>18</v>
      </c>
      <c r="E276" s="4" t="s">
        <v>1129</v>
      </c>
      <c r="F276" s="4" t="s">
        <v>1130</v>
      </c>
      <c r="G276" s="4" t="s">
        <v>1132</v>
      </c>
      <c r="H276" s="7" t="s">
        <v>2680</v>
      </c>
    </row>
    <row r="277" spans="1:8" ht="33.6" customHeight="1" x14ac:dyDescent="0.3">
      <c r="A277" s="4" t="s">
        <v>2411</v>
      </c>
      <c r="B277" s="12">
        <v>1</v>
      </c>
      <c r="C277" s="4" t="s">
        <v>773</v>
      </c>
      <c r="D277" s="4" t="s">
        <v>18</v>
      </c>
      <c r="E277" s="4" t="s">
        <v>1387</v>
      </c>
      <c r="F277" s="4" t="s">
        <v>1388</v>
      </c>
      <c r="G277" s="4" t="s">
        <v>1390</v>
      </c>
      <c r="H277" s="7" t="s">
        <v>2680</v>
      </c>
    </row>
    <row r="278" spans="1:8" ht="33.6" customHeight="1" x14ac:dyDescent="0.3">
      <c r="A278" s="4" t="s">
        <v>2380</v>
      </c>
      <c r="B278" s="12">
        <v>1</v>
      </c>
      <c r="C278" s="4" t="s">
        <v>773</v>
      </c>
      <c r="D278" s="4" t="s">
        <v>18</v>
      </c>
      <c r="E278" s="4" t="s">
        <v>1201</v>
      </c>
      <c r="F278" s="4" t="s">
        <v>1202</v>
      </c>
      <c r="G278" s="4" t="s">
        <v>1204</v>
      </c>
      <c r="H278" s="7" t="s">
        <v>2680</v>
      </c>
    </row>
    <row r="279" spans="1:8" ht="33.6" customHeight="1" x14ac:dyDescent="0.3">
      <c r="A279" s="4" t="s">
        <v>2501</v>
      </c>
      <c r="B279" s="12">
        <v>1</v>
      </c>
      <c r="C279" s="4" t="s">
        <v>1494</v>
      </c>
      <c r="D279" s="4" t="s">
        <v>1938</v>
      </c>
      <c r="E279" s="4" t="s">
        <v>2090</v>
      </c>
      <c r="F279" s="4" t="s">
        <v>2091</v>
      </c>
      <c r="G279" s="4" t="s">
        <v>2093</v>
      </c>
      <c r="H279" s="7" t="s">
        <v>2680</v>
      </c>
    </row>
    <row r="280" spans="1:8" ht="33.6" customHeight="1" x14ac:dyDescent="0.3">
      <c r="A280" s="4" t="s">
        <v>2431</v>
      </c>
      <c r="B280" s="12">
        <v>1</v>
      </c>
      <c r="C280" s="4" t="s">
        <v>1494</v>
      </c>
      <c r="D280" s="4" t="s">
        <v>18</v>
      </c>
      <c r="E280" s="4" t="s">
        <v>1507</v>
      </c>
      <c r="F280" s="4" t="s">
        <v>1508</v>
      </c>
      <c r="G280" s="4" t="s">
        <v>1510</v>
      </c>
      <c r="H280" s="7" t="s">
        <v>2680</v>
      </c>
    </row>
    <row r="281" spans="1:8" ht="33.6" customHeight="1" x14ac:dyDescent="0.3">
      <c r="A281" s="4" t="s">
        <v>2434</v>
      </c>
      <c r="B281" s="12">
        <v>1</v>
      </c>
      <c r="C281" s="4" t="s">
        <v>1494</v>
      </c>
      <c r="D281" s="4" t="s">
        <v>18</v>
      </c>
      <c r="E281" s="4" t="s">
        <v>1533</v>
      </c>
      <c r="F281" s="4" t="s">
        <v>1534</v>
      </c>
      <c r="G281" s="4" t="s">
        <v>1536</v>
      </c>
      <c r="H281" s="7" t="s">
        <v>2680</v>
      </c>
    </row>
    <row r="282" spans="1:8" ht="33.6" customHeight="1" x14ac:dyDescent="0.3">
      <c r="A282" s="4" t="s">
        <v>2439</v>
      </c>
      <c r="B282" s="12">
        <v>1</v>
      </c>
      <c r="C282" s="4" t="s">
        <v>1494</v>
      </c>
      <c r="D282" s="4" t="s">
        <v>18</v>
      </c>
      <c r="E282" s="4" t="s">
        <v>1567</v>
      </c>
      <c r="F282" s="4" t="s">
        <v>1568</v>
      </c>
      <c r="G282" s="4" t="s">
        <v>1570</v>
      </c>
      <c r="H282" s="7" t="s">
        <v>2680</v>
      </c>
    </row>
    <row r="283" spans="1:8" ht="33.6" customHeight="1" x14ac:dyDescent="0.3">
      <c r="A283" s="4" t="s">
        <v>2504</v>
      </c>
      <c r="B283" s="12">
        <v>1</v>
      </c>
      <c r="C283" s="4" t="s">
        <v>1494</v>
      </c>
      <c r="D283" s="4" t="s">
        <v>1938</v>
      </c>
      <c r="E283" s="4" t="s">
        <v>2110</v>
      </c>
      <c r="F283" s="4" t="s">
        <v>2111</v>
      </c>
      <c r="G283" s="4" t="s">
        <v>2113</v>
      </c>
      <c r="H283" s="7" t="s">
        <v>2680</v>
      </c>
    </row>
    <row r="284" spans="1:8" ht="33.6" customHeight="1" x14ac:dyDescent="0.3">
      <c r="A284" s="4" t="s">
        <v>2441</v>
      </c>
      <c r="B284" s="12">
        <v>1</v>
      </c>
      <c r="C284" s="4" t="s">
        <v>1494</v>
      </c>
      <c r="D284" s="4" t="s">
        <v>18</v>
      </c>
      <c r="E284" s="4" t="s">
        <v>1583</v>
      </c>
      <c r="F284" s="4" t="s">
        <v>1584</v>
      </c>
      <c r="G284" s="4" t="s">
        <v>1586</v>
      </c>
      <c r="H284" s="7" t="s">
        <v>2680</v>
      </c>
    </row>
    <row r="285" spans="1:8" ht="33.6" customHeight="1" x14ac:dyDescent="0.3">
      <c r="A285" s="4" t="s">
        <v>2471</v>
      </c>
      <c r="B285" s="12">
        <v>1</v>
      </c>
      <c r="C285" s="4" t="s">
        <v>1494</v>
      </c>
      <c r="D285" s="4" t="s">
        <v>18</v>
      </c>
      <c r="E285" s="4" t="s">
        <v>1793</v>
      </c>
      <c r="F285" s="4" t="s">
        <v>1794</v>
      </c>
      <c r="G285" s="4" t="s">
        <v>1796</v>
      </c>
      <c r="H285" s="7" t="s">
        <v>2680</v>
      </c>
    </row>
    <row r="286" spans="1:8" ht="33.6" customHeight="1" x14ac:dyDescent="0.3">
      <c r="A286" s="4" t="s">
        <v>2477</v>
      </c>
      <c r="B286" s="12">
        <v>1</v>
      </c>
      <c r="C286" s="4" t="s">
        <v>1494</v>
      </c>
      <c r="D286" s="4" t="s">
        <v>18</v>
      </c>
      <c r="E286" s="4" t="s">
        <v>1841</v>
      </c>
      <c r="F286" s="4" t="s">
        <v>1842</v>
      </c>
      <c r="G286" s="4" t="s">
        <v>1844</v>
      </c>
      <c r="H286" s="7" t="s">
        <v>2680</v>
      </c>
    </row>
    <row r="287" spans="1:8" ht="33.6" customHeight="1" x14ac:dyDescent="0.3">
      <c r="A287" s="4" t="s">
        <v>2502</v>
      </c>
      <c r="B287" s="12">
        <v>1</v>
      </c>
      <c r="C287" s="4" t="s">
        <v>1494</v>
      </c>
      <c r="D287" s="4" t="s">
        <v>1938</v>
      </c>
      <c r="E287" s="4" t="s">
        <v>2096</v>
      </c>
      <c r="F287" s="4" t="s">
        <v>2097</v>
      </c>
      <c r="G287" s="4" t="s">
        <v>2099</v>
      </c>
      <c r="H287" s="7" t="s">
        <v>2680</v>
      </c>
    </row>
    <row r="288" spans="1:8" ht="33.6" customHeight="1" x14ac:dyDescent="0.3">
      <c r="A288" s="4" t="s">
        <v>2452</v>
      </c>
      <c r="B288" s="12">
        <v>1</v>
      </c>
      <c r="C288" s="4" t="s">
        <v>1494</v>
      </c>
      <c r="D288" s="4" t="s">
        <v>18</v>
      </c>
      <c r="E288" s="4" t="s">
        <v>1669</v>
      </c>
      <c r="F288" s="4" t="s">
        <v>1670</v>
      </c>
      <c r="G288" s="4" t="s">
        <v>1672</v>
      </c>
      <c r="H288" s="7" t="s">
        <v>2680</v>
      </c>
    </row>
    <row r="289" spans="1:8" ht="33.6" customHeight="1" x14ac:dyDescent="0.3">
      <c r="A289" s="4" t="s">
        <v>2394</v>
      </c>
      <c r="B289" s="12">
        <v>1</v>
      </c>
      <c r="C289" s="4" t="s">
        <v>773</v>
      </c>
      <c r="D289" s="4" t="s">
        <v>18</v>
      </c>
      <c r="E289" s="4" t="s">
        <v>1286</v>
      </c>
      <c r="F289" s="4" t="s">
        <v>1287</v>
      </c>
      <c r="G289" s="4" t="s">
        <v>1289</v>
      </c>
      <c r="H289" s="7" t="s">
        <v>2680</v>
      </c>
    </row>
    <row r="290" spans="1:8" ht="33.6" customHeight="1" x14ac:dyDescent="0.3">
      <c r="A290" s="4" t="s">
        <v>2341</v>
      </c>
      <c r="B290" s="12">
        <v>1</v>
      </c>
      <c r="C290" s="4" t="s">
        <v>773</v>
      </c>
      <c r="D290" s="4" t="s">
        <v>18</v>
      </c>
      <c r="E290" s="4" t="s">
        <v>966</v>
      </c>
      <c r="F290" s="4" t="s">
        <v>967</v>
      </c>
      <c r="G290" s="4" t="s">
        <v>969</v>
      </c>
      <c r="H290" s="7" t="s">
        <v>2680</v>
      </c>
    </row>
    <row r="291" spans="1:8" ht="33.6" customHeight="1" x14ac:dyDescent="0.3">
      <c r="A291" s="4" t="s">
        <v>2480</v>
      </c>
      <c r="B291" s="12">
        <v>1</v>
      </c>
      <c r="C291" s="4" t="s">
        <v>1494</v>
      </c>
      <c r="D291" s="4" t="s">
        <v>18</v>
      </c>
      <c r="E291" s="4" t="s">
        <v>1873</v>
      </c>
      <c r="F291" s="4" t="s">
        <v>1874</v>
      </c>
      <c r="G291" s="4" t="s">
        <v>1876</v>
      </c>
      <c r="H291" s="7" t="s">
        <v>2680</v>
      </c>
    </row>
    <row r="292" spans="1:8" ht="33.6" customHeight="1" x14ac:dyDescent="0.3">
      <c r="A292" s="4" t="s">
        <v>2465</v>
      </c>
      <c r="B292" s="12">
        <v>1</v>
      </c>
      <c r="C292" s="4" t="s">
        <v>1494</v>
      </c>
      <c r="D292" s="4" t="s">
        <v>18</v>
      </c>
      <c r="E292" s="4" t="s">
        <v>1744</v>
      </c>
      <c r="F292" s="4" t="s">
        <v>1745</v>
      </c>
      <c r="G292" s="4" t="s">
        <v>1747</v>
      </c>
      <c r="H292" s="7" t="s">
        <v>2680</v>
      </c>
    </row>
    <row r="293" spans="1:8" ht="33.6" customHeight="1" x14ac:dyDescent="0.3">
      <c r="A293" s="4" t="s">
        <v>2506</v>
      </c>
      <c r="B293" s="12">
        <v>1</v>
      </c>
      <c r="C293" s="4" t="s">
        <v>1494</v>
      </c>
      <c r="D293" s="4" t="s">
        <v>1938</v>
      </c>
      <c r="E293" s="4" t="s">
        <v>2123</v>
      </c>
      <c r="F293" s="4" t="s">
        <v>1975</v>
      </c>
      <c r="G293" s="4" t="s">
        <v>2125</v>
      </c>
      <c r="H293" s="7" t="s">
        <v>2680</v>
      </c>
    </row>
    <row r="294" spans="1:8" ht="33.6" customHeight="1" x14ac:dyDescent="0.3">
      <c r="A294" s="4" t="s">
        <v>2331</v>
      </c>
      <c r="B294" s="12">
        <v>1</v>
      </c>
      <c r="C294" s="4" t="s">
        <v>773</v>
      </c>
      <c r="D294" s="4" t="s">
        <v>18</v>
      </c>
      <c r="E294" s="4" t="s">
        <v>905</v>
      </c>
      <c r="F294" s="4" t="s">
        <v>906</v>
      </c>
      <c r="G294" s="4" t="s">
        <v>908</v>
      </c>
      <c r="H294" s="7" t="s">
        <v>2680</v>
      </c>
    </row>
    <row r="295" spans="1:8" ht="33.6" customHeight="1" x14ac:dyDescent="0.3">
      <c r="A295" s="4" t="s">
        <v>2467</v>
      </c>
      <c r="B295" s="12">
        <v>1</v>
      </c>
      <c r="C295" s="4" t="s">
        <v>1494</v>
      </c>
      <c r="D295" s="4" t="s">
        <v>18</v>
      </c>
      <c r="E295" s="4" t="s">
        <v>1762</v>
      </c>
      <c r="F295" s="4" t="s">
        <v>1763</v>
      </c>
      <c r="G295" s="4" t="s">
        <v>1765</v>
      </c>
      <c r="H295" s="7" t="s">
        <v>2680</v>
      </c>
    </row>
    <row r="296" spans="1:8" ht="33.6" customHeight="1" x14ac:dyDescent="0.3">
      <c r="A296" s="4" t="s">
        <v>2478</v>
      </c>
      <c r="B296" s="12">
        <v>1</v>
      </c>
      <c r="C296" s="4" t="s">
        <v>1494</v>
      </c>
      <c r="D296" s="4" t="s">
        <v>18</v>
      </c>
      <c r="E296" s="4" t="s">
        <v>1847</v>
      </c>
      <c r="F296" s="4" t="s">
        <v>1848</v>
      </c>
      <c r="G296" s="4" t="s">
        <v>1850</v>
      </c>
      <c r="H296" s="7" t="s">
        <v>2680</v>
      </c>
    </row>
    <row r="297" spans="1:8" ht="33.6" customHeight="1" x14ac:dyDescent="0.3">
      <c r="A297" s="4" t="s">
        <v>2359</v>
      </c>
      <c r="B297" s="12">
        <v>1</v>
      </c>
      <c r="C297" s="4" t="s">
        <v>773</v>
      </c>
      <c r="D297" s="4" t="s">
        <v>18</v>
      </c>
      <c r="E297" s="4" t="s">
        <v>1075</v>
      </c>
      <c r="F297" s="4" t="s">
        <v>1076</v>
      </c>
      <c r="G297" s="4" t="s">
        <v>1078</v>
      </c>
      <c r="H297" s="7" t="s">
        <v>2680</v>
      </c>
    </row>
    <row r="298" spans="1:8" ht="33.6" customHeight="1" x14ac:dyDescent="0.3">
      <c r="A298" s="4" t="s">
        <v>2367</v>
      </c>
      <c r="B298" s="12">
        <v>1</v>
      </c>
      <c r="C298" s="4" t="s">
        <v>773</v>
      </c>
      <c r="D298" s="4" t="s">
        <v>18</v>
      </c>
      <c r="E298" s="4" t="s">
        <v>1123</v>
      </c>
      <c r="F298" s="4" t="s">
        <v>1124</v>
      </c>
      <c r="G298" s="4" t="s">
        <v>1126</v>
      </c>
      <c r="H298" s="7" t="s">
        <v>2680</v>
      </c>
    </row>
    <row r="299" spans="1:8" ht="33.6" customHeight="1" x14ac:dyDescent="0.3">
      <c r="A299" s="4" t="s">
        <v>2420</v>
      </c>
      <c r="B299" s="12">
        <v>1</v>
      </c>
      <c r="C299" s="4" t="s">
        <v>773</v>
      </c>
      <c r="D299" s="4" t="s">
        <v>18</v>
      </c>
      <c r="E299" s="4" t="s">
        <v>1439</v>
      </c>
      <c r="F299" s="4" t="s">
        <v>1440</v>
      </c>
      <c r="G299" s="4" t="s">
        <v>1442</v>
      </c>
      <c r="H299" s="7" t="s">
        <v>2680</v>
      </c>
    </row>
    <row r="300" spans="1:8" ht="33.6" customHeight="1" x14ac:dyDescent="0.3">
      <c r="A300" s="4" t="s">
        <v>2324</v>
      </c>
      <c r="B300" s="12">
        <v>1</v>
      </c>
      <c r="C300" s="4" t="s">
        <v>773</v>
      </c>
      <c r="D300" s="4" t="s">
        <v>18</v>
      </c>
      <c r="E300" s="4" t="s">
        <v>861</v>
      </c>
      <c r="F300" s="4" t="s">
        <v>862</v>
      </c>
      <c r="G300" s="4" t="s">
        <v>864</v>
      </c>
      <c r="H300" s="7" t="s">
        <v>2680</v>
      </c>
    </row>
    <row r="301" spans="1:8" ht="33.6" customHeight="1" x14ac:dyDescent="0.3">
      <c r="A301" s="4" t="s">
        <v>2356</v>
      </c>
      <c r="B301" s="12">
        <v>1</v>
      </c>
      <c r="C301" s="4" t="s">
        <v>773</v>
      </c>
      <c r="D301" s="4" t="s">
        <v>18</v>
      </c>
      <c r="E301" s="4" t="s">
        <v>1057</v>
      </c>
      <c r="F301" s="4" t="s">
        <v>1058</v>
      </c>
      <c r="G301" s="4" t="s">
        <v>1060</v>
      </c>
      <c r="H301" s="7" t="s">
        <v>2680</v>
      </c>
    </row>
    <row r="302" spans="1:8" ht="33.6" customHeight="1" x14ac:dyDescent="0.3">
      <c r="A302" s="4" t="s">
        <v>2407</v>
      </c>
      <c r="B302" s="12">
        <v>1</v>
      </c>
      <c r="C302" s="4" t="s">
        <v>773</v>
      </c>
      <c r="D302" s="4" t="s">
        <v>18</v>
      </c>
      <c r="E302" s="4" t="s">
        <v>1363</v>
      </c>
      <c r="F302" s="4" t="s">
        <v>1364</v>
      </c>
      <c r="G302" s="4" t="s">
        <v>1366</v>
      </c>
      <c r="H302" s="7" t="s">
        <v>2680</v>
      </c>
    </row>
    <row r="303" spans="1:8" ht="33.6" customHeight="1" x14ac:dyDescent="0.3">
      <c r="A303" s="4" t="s">
        <v>2507</v>
      </c>
      <c r="B303" s="12">
        <v>1</v>
      </c>
      <c r="C303" s="4" t="s">
        <v>1494</v>
      </c>
      <c r="D303" s="4" t="s">
        <v>1938</v>
      </c>
      <c r="E303" s="4" t="s">
        <v>2130</v>
      </c>
      <c r="F303" s="4" t="s">
        <v>2131</v>
      </c>
      <c r="G303" s="4" t="s">
        <v>2133</v>
      </c>
      <c r="H303" s="7" t="s">
        <v>2680</v>
      </c>
    </row>
    <row r="304" spans="1:8" ht="33.6" customHeight="1" x14ac:dyDescent="0.3">
      <c r="A304" s="4" t="s">
        <v>2290</v>
      </c>
      <c r="B304" s="12">
        <v>1</v>
      </c>
      <c r="C304" s="4" t="s">
        <v>17</v>
      </c>
      <c r="D304" s="4" t="s">
        <v>18</v>
      </c>
      <c r="E304" s="4" t="s">
        <v>654</v>
      </c>
      <c r="F304" s="4" t="s">
        <v>655</v>
      </c>
      <c r="G304" s="4" t="s">
        <v>657</v>
      </c>
      <c r="H304" s="7" t="s">
        <v>2680</v>
      </c>
    </row>
    <row r="305" spans="1:8" ht="33.6" customHeight="1" x14ac:dyDescent="0.3">
      <c r="A305" s="4" t="s">
        <v>2279</v>
      </c>
      <c r="B305" s="12">
        <v>1</v>
      </c>
      <c r="C305" s="4" t="s">
        <v>17</v>
      </c>
      <c r="D305" s="4" t="s">
        <v>18</v>
      </c>
      <c r="E305" s="4" t="s">
        <v>586</v>
      </c>
      <c r="F305" s="4" t="s">
        <v>587</v>
      </c>
      <c r="G305" s="4" t="s">
        <v>589</v>
      </c>
      <c r="H305" s="7" t="s">
        <v>2680</v>
      </c>
    </row>
    <row r="306" spans="1:8" ht="33.6" customHeight="1" x14ac:dyDescent="0.3">
      <c r="A306" s="4" t="s">
        <v>2485</v>
      </c>
      <c r="B306" s="12">
        <v>1</v>
      </c>
      <c r="C306" s="4" t="s">
        <v>1494</v>
      </c>
      <c r="D306" s="4" t="s">
        <v>18</v>
      </c>
      <c r="E306" s="4" t="s">
        <v>1899</v>
      </c>
      <c r="F306" s="4" t="s">
        <v>1900</v>
      </c>
      <c r="G306" s="4" t="s">
        <v>1902</v>
      </c>
      <c r="H306" s="7" t="s">
        <v>2680</v>
      </c>
    </row>
    <row r="307" spans="1:8" ht="33.6" customHeight="1" x14ac:dyDescent="0.3">
      <c r="A307" s="4" t="s">
        <v>2450</v>
      </c>
      <c r="B307" s="12">
        <v>1</v>
      </c>
      <c r="C307" s="4" t="s">
        <v>1494</v>
      </c>
      <c r="D307" s="4" t="s">
        <v>18</v>
      </c>
      <c r="E307" s="4" t="s">
        <v>1657</v>
      </c>
      <c r="F307" s="4" t="s">
        <v>1658</v>
      </c>
      <c r="G307" s="4" t="s">
        <v>1660</v>
      </c>
      <c r="H307" s="7" t="s">
        <v>2680</v>
      </c>
    </row>
    <row r="308" spans="1:8" ht="33.6" customHeight="1" x14ac:dyDescent="0.3">
      <c r="A308" s="4" t="s">
        <v>2484</v>
      </c>
      <c r="B308" s="12">
        <v>1</v>
      </c>
      <c r="C308" s="4" t="s">
        <v>1494</v>
      </c>
      <c r="D308" s="4" t="s">
        <v>18</v>
      </c>
      <c r="E308" s="4" t="s">
        <v>1893</v>
      </c>
      <c r="F308" s="4" t="s">
        <v>1894</v>
      </c>
      <c r="G308" s="4" t="s">
        <v>1896</v>
      </c>
      <c r="H308" s="7" t="s">
        <v>2680</v>
      </c>
    </row>
    <row r="309" spans="1:8" ht="33.6" customHeight="1" x14ac:dyDescent="0.3">
      <c r="A309" s="4" t="s">
        <v>2429</v>
      </c>
      <c r="B309" s="12">
        <v>1</v>
      </c>
      <c r="C309" s="4" t="s">
        <v>1494</v>
      </c>
      <c r="D309" s="4" t="s">
        <v>18</v>
      </c>
      <c r="E309" s="4" t="s">
        <v>1491</v>
      </c>
      <c r="F309" s="4" t="s">
        <v>1492</v>
      </c>
      <c r="G309" s="4" t="s">
        <v>1495</v>
      </c>
      <c r="H309" s="7" t="s">
        <v>2680</v>
      </c>
    </row>
    <row r="310" spans="1:8" ht="33.6" customHeight="1" x14ac:dyDescent="0.3">
      <c r="A310" s="4" t="s">
        <v>2464</v>
      </c>
      <c r="B310" s="12">
        <v>1</v>
      </c>
      <c r="C310" s="4" t="s">
        <v>1494</v>
      </c>
      <c r="D310" s="4" t="s">
        <v>18</v>
      </c>
      <c r="E310" s="4" t="s">
        <v>1738</v>
      </c>
      <c r="F310" s="4" t="s">
        <v>1739</v>
      </c>
      <c r="G310" s="4" t="s">
        <v>1741</v>
      </c>
      <c r="H310" s="7" t="s">
        <v>2680</v>
      </c>
    </row>
    <row r="311" spans="1:8" ht="33.6" customHeight="1" x14ac:dyDescent="0.3">
      <c r="A311" s="4" t="s">
        <v>2437</v>
      </c>
      <c r="B311" s="12">
        <v>1</v>
      </c>
      <c r="C311" s="4" t="s">
        <v>1494</v>
      </c>
      <c r="D311" s="4" t="s">
        <v>18</v>
      </c>
      <c r="E311" s="4" t="s">
        <v>1551</v>
      </c>
      <c r="F311" s="4" t="s">
        <v>1552</v>
      </c>
      <c r="G311" s="4" t="s">
        <v>1554</v>
      </c>
      <c r="H311" s="7" t="s">
        <v>2680</v>
      </c>
    </row>
    <row r="312" spans="1:8" ht="33.6" customHeight="1" x14ac:dyDescent="0.3">
      <c r="A312" s="4" t="s">
        <v>2433</v>
      </c>
      <c r="B312" s="12">
        <v>1</v>
      </c>
      <c r="C312" s="4" t="s">
        <v>1494</v>
      </c>
      <c r="D312" s="4" t="s">
        <v>18</v>
      </c>
      <c r="E312" s="4" t="s">
        <v>1527</v>
      </c>
      <c r="F312" s="4" t="s">
        <v>1528</v>
      </c>
      <c r="G312" s="4" t="s">
        <v>1530</v>
      </c>
      <c r="H312" s="7" t="s">
        <v>2680</v>
      </c>
    </row>
    <row r="313" spans="1:8" ht="33.6" customHeight="1" x14ac:dyDescent="0.3">
      <c r="A313" s="4" t="s">
        <v>2436</v>
      </c>
      <c r="B313" s="12">
        <v>1</v>
      </c>
      <c r="C313" s="4" t="s">
        <v>1494</v>
      </c>
      <c r="D313" s="4" t="s">
        <v>18</v>
      </c>
      <c r="E313" s="4" t="s">
        <v>1545</v>
      </c>
      <c r="F313" s="4" t="s">
        <v>1546</v>
      </c>
      <c r="G313" s="4" t="s">
        <v>1548</v>
      </c>
      <c r="H313" s="7" t="s">
        <v>2680</v>
      </c>
    </row>
    <row r="314" spans="1:8" ht="33.6" customHeight="1" x14ac:dyDescent="0.3">
      <c r="A314" s="4" t="s">
        <v>2440</v>
      </c>
      <c r="B314" s="12">
        <v>1</v>
      </c>
      <c r="C314" s="4" t="s">
        <v>1494</v>
      </c>
      <c r="D314" s="4" t="s">
        <v>18</v>
      </c>
      <c r="E314" s="4" t="s">
        <v>1573</v>
      </c>
      <c r="F314" s="4" t="s">
        <v>1574</v>
      </c>
      <c r="G314" s="4" t="s">
        <v>1576</v>
      </c>
      <c r="H314" s="7" t="s">
        <v>2680</v>
      </c>
    </row>
    <row r="315" spans="1:8" ht="33.6" customHeight="1" x14ac:dyDescent="0.3">
      <c r="A315" s="4" t="s">
        <v>2492</v>
      </c>
      <c r="B315" s="12">
        <v>1</v>
      </c>
      <c r="C315" s="4" t="s">
        <v>17</v>
      </c>
      <c r="D315" s="4" t="s">
        <v>1938</v>
      </c>
      <c r="E315" s="4" t="s">
        <v>1948</v>
      </c>
      <c r="F315" s="4" t="s">
        <v>1949</v>
      </c>
      <c r="G315" s="4" t="s">
        <v>1951</v>
      </c>
      <c r="H315" s="7" t="s">
        <v>2680</v>
      </c>
    </row>
    <row r="316" spans="1:8" ht="33.6" customHeight="1" x14ac:dyDescent="0.3">
      <c r="A316" s="4" t="s">
        <v>2425</v>
      </c>
      <c r="B316" s="12">
        <v>1</v>
      </c>
      <c r="C316" s="4" t="s">
        <v>773</v>
      </c>
      <c r="D316" s="4" t="s">
        <v>18</v>
      </c>
      <c r="E316" s="4" t="s">
        <v>1470</v>
      </c>
      <c r="F316" s="4" t="s">
        <v>1471</v>
      </c>
      <c r="G316" s="4" t="s">
        <v>207</v>
      </c>
      <c r="H316" s="7" t="s">
        <v>2680</v>
      </c>
    </row>
    <row r="317" spans="1:8" ht="33.6" customHeight="1" x14ac:dyDescent="0.3">
      <c r="A317" s="4" t="s">
        <v>2483</v>
      </c>
      <c r="B317" s="12">
        <v>1</v>
      </c>
      <c r="C317" s="4" t="s">
        <v>1494</v>
      </c>
      <c r="D317" s="4" t="s">
        <v>18</v>
      </c>
      <c r="E317" s="4" t="s">
        <v>1889</v>
      </c>
      <c r="F317" s="4" t="s">
        <v>1890</v>
      </c>
      <c r="G317" s="4" t="s">
        <v>207</v>
      </c>
      <c r="H317" s="7" t="s">
        <v>2680</v>
      </c>
    </row>
    <row r="318" spans="1:8" ht="33.6" customHeight="1" x14ac:dyDescent="0.3">
      <c r="A318" s="4" t="s">
        <v>2473</v>
      </c>
      <c r="B318" s="12">
        <v>1</v>
      </c>
      <c r="C318" s="4" t="s">
        <v>1494</v>
      </c>
      <c r="D318" s="4" t="s">
        <v>18</v>
      </c>
      <c r="E318" s="4" t="s">
        <v>1816</v>
      </c>
      <c r="F318" s="4" t="s">
        <v>1817</v>
      </c>
      <c r="G318" s="4" t="s">
        <v>207</v>
      </c>
      <c r="H318" s="7" t="s">
        <v>2680</v>
      </c>
    </row>
    <row r="319" spans="1:8" ht="33.6" customHeight="1" x14ac:dyDescent="0.3">
      <c r="A319" s="4" t="s">
        <v>2426</v>
      </c>
      <c r="B319" s="12">
        <v>1</v>
      </c>
      <c r="C319" s="4" t="s">
        <v>773</v>
      </c>
      <c r="D319" s="4" t="s">
        <v>18</v>
      </c>
      <c r="E319" s="4" t="s">
        <v>1474</v>
      </c>
      <c r="F319" s="4" t="s">
        <v>1475</v>
      </c>
      <c r="G319" s="4" t="s">
        <v>207</v>
      </c>
      <c r="H319" s="7" t="s">
        <v>2680</v>
      </c>
    </row>
    <row r="320" spans="1:8" ht="33.6" customHeight="1" x14ac:dyDescent="0.3">
      <c r="A320" s="4" t="s">
        <v>2457</v>
      </c>
      <c r="B320" s="12">
        <v>1</v>
      </c>
      <c r="C320" s="4" t="s">
        <v>1494</v>
      </c>
      <c r="D320" s="4" t="s">
        <v>18</v>
      </c>
      <c r="E320" s="4" t="s">
        <v>1701</v>
      </c>
      <c r="F320" s="4" t="s">
        <v>1702</v>
      </c>
      <c r="G320" s="4" t="s">
        <v>207</v>
      </c>
      <c r="H320" s="7" t="s">
        <v>2680</v>
      </c>
    </row>
    <row r="321" spans="1:8" ht="33.6" customHeight="1" x14ac:dyDescent="0.3">
      <c r="A321" s="4" t="s">
        <v>2513</v>
      </c>
      <c r="B321" s="12">
        <v>1</v>
      </c>
      <c r="C321" s="4" t="s">
        <v>1494</v>
      </c>
      <c r="D321" s="4" t="s">
        <v>1938</v>
      </c>
      <c r="E321" s="4" t="s">
        <v>2175</v>
      </c>
      <c r="F321" s="4" t="s">
        <v>2176</v>
      </c>
      <c r="G321" s="4" t="s">
        <v>207</v>
      </c>
      <c r="H321" s="7" t="s">
        <v>2680</v>
      </c>
    </row>
    <row r="322" spans="1:8" ht="33.6" customHeight="1" x14ac:dyDescent="0.3">
      <c r="A322" s="4" t="s">
        <v>2217</v>
      </c>
      <c r="B322" s="12">
        <v>1</v>
      </c>
      <c r="C322" s="4" t="s">
        <v>17</v>
      </c>
      <c r="D322" s="4" t="s">
        <v>18</v>
      </c>
      <c r="E322" s="4" t="s">
        <v>204</v>
      </c>
      <c r="F322" s="4" t="s">
        <v>205</v>
      </c>
      <c r="G322" s="4" t="s">
        <v>207</v>
      </c>
      <c r="H322" s="7" t="s">
        <v>2680</v>
      </c>
    </row>
    <row r="323" spans="1:8" ht="33.6" customHeight="1" x14ac:dyDescent="0.3">
      <c r="A323" s="4" t="s">
        <v>2496</v>
      </c>
      <c r="B323" s="12">
        <v>1</v>
      </c>
      <c r="C323" s="4" t="s">
        <v>17</v>
      </c>
      <c r="D323" s="4" t="s">
        <v>1938</v>
      </c>
      <c r="E323" s="4" t="s">
        <v>1974</v>
      </c>
      <c r="F323" s="4" t="s">
        <v>1975</v>
      </c>
      <c r="G323" s="4" t="s">
        <v>207</v>
      </c>
      <c r="H323" s="7" t="s">
        <v>2680</v>
      </c>
    </row>
    <row r="324" spans="1:8" ht="33.6" customHeight="1" x14ac:dyDescent="0.3">
      <c r="A324" s="4" t="s">
        <v>2462</v>
      </c>
      <c r="B324" s="12">
        <v>1</v>
      </c>
      <c r="C324" s="4" t="s">
        <v>1494</v>
      </c>
      <c r="D324" s="4" t="s">
        <v>18</v>
      </c>
      <c r="E324" s="4" t="s">
        <v>1727</v>
      </c>
      <c r="F324" s="4" t="s">
        <v>1728</v>
      </c>
      <c r="G324" s="4" t="s">
        <v>207</v>
      </c>
      <c r="H324" s="7" t="s">
        <v>2680</v>
      </c>
    </row>
    <row r="325" spans="1:8" ht="33.6" customHeight="1" x14ac:dyDescent="0.3">
      <c r="A325" s="4" t="s">
        <v>2468</v>
      </c>
      <c r="B325" s="12">
        <v>1</v>
      </c>
      <c r="C325" s="4" t="s">
        <v>1494</v>
      </c>
      <c r="D325" s="4" t="s">
        <v>18</v>
      </c>
      <c r="E325" s="4" t="s">
        <v>1773</v>
      </c>
      <c r="F325" s="4" t="s">
        <v>1774</v>
      </c>
      <c r="G325" s="4" t="s">
        <v>207</v>
      </c>
      <c r="H325" s="7" t="s">
        <v>2680</v>
      </c>
    </row>
    <row r="326" spans="1:8" ht="33.6" customHeight="1" x14ac:dyDescent="0.3">
      <c r="A326" s="4" t="s">
        <v>2453</v>
      </c>
      <c r="B326" s="12">
        <v>1</v>
      </c>
      <c r="C326" s="4" t="s">
        <v>1494</v>
      </c>
      <c r="D326" s="4" t="s">
        <v>18</v>
      </c>
      <c r="E326" s="4" t="s">
        <v>1675</v>
      </c>
      <c r="F326" s="4" t="s">
        <v>1676</v>
      </c>
      <c r="G326" s="4" t="s">
        <v>207</v>
      </c>
      <c r="H326" s="7" t="s">
        <v>2680</v>
      </c>
    </row>
    <row r="327" spans="1:8" ht="33.6" customHeight="1" x14ac:dyDescent="0.3">
      <c r="A327" s="4" t="s">
        <v>2460</v>
      </c>
      <c r="B327" s="12">
        <v>1</v>
      </c>
      <c r="C327" s="4" t="s">
        <v>1494</v>
      </c>
      <c r="D327" s="4" t="s">
        <v>18</v>
      </c>
      <c r="E327" s="4" t="s">
        <v>1717</v>
      </c>
      <c r="F327" s="4" t="s">
        <v>1718</v>
      </c>
      <c r="G327" s="4" t="s">
        <v>207</v>
      </c>
      <c r="H327" s="7" t="s">
        <v>2680</v>
      </c>
    </row>
    <row r="328" spans="1:8" ht="33.6" customHeight="1" x14ac:dyDescent="0.3">
      <c r="A328" s="4" t="s">
        <v>2479</v>
      </c>
      <c r="B328" s="12">
        <v>1</v>
      </c>
      <c r="C328" s="4" t="s">
        <v>1494</v>
      </c>
      <c r="D328" s="4" t="s">
        <v>18</v>
      </c>
      <c r="E328" s="4" t="s">
        <v>1869</v>
      </c>
      <c r="F328" s="4" t="s">
        <v>1870</v>
      </c>
      <c r="G328" s="4" t="s">
        <v>207</v>
      </c>
      <c r="H328" s="7" t="s">
        <v>2680</v>
      </c>
    </row>
    <row r="329" spans="1:8" ht="33.6" customHeight="1" x14ac:dyDescent="0.3">
      <c r="A329" s="4" t="s">
        <v>2482</v>
      </c>
      <c r="B329" s="12">
        <v>1</v>
      </c>
      <c r="C329" s="4" t="s">
        <v>1494</v>
      </c>
      <c r="D329" s="4" t="s">
        <v>18</v>
      </c>
      <c r="E329" s="4" t="s">
        <v>1885</v>
      </c>
      <c r="F329" s="4" t="s">
        <v>1886</v>
      </c>
      <c r="G329" s="4" t="s">
        <v>207</v>
      </c>
      <c r="H329" s="7" t="s">
        <v>2680</v>
      </c>
    </row>
  </sheetData>
  <mergeCells count="2">
    <mergeCell ref="A2:H2"/>
    <mergeCell ref="A1:H1"/>
  </mergeCells>
  <pageMargins left="0.7" right="0.7" top="0.75" bottom="0.75" header="0.3" footer="0.3"/>
  <pageSetup paperSize="9" orientation="portrait" horizontalDpi="0"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1"/>
  <sheetViews>
    <sheetView topLeftCell="A6" workbookViewId="0">
      <selection sqref="A1:C1"/>
    </sheetView>
  </sheetViews>
  <sheetFormatPr defaultRowHeight="14.4" x14ac:dyDescent="0.3"/>
  <cols>
    <col min="1" max="1" width="22" customWidth="1"/>
    <col min="2" max="2" width="79.88671875" customWidth="1"/>
    <col min="3" max="3" width="40" customWidth="1"/>
  </cols>
  <sheetData>
    <row r="1" spans="1:3" ht="19.2" customHeight="1" x14ac:dyDescent="0.3">
      <c r="A1" s="31" t="s">
        <v>2681</v>
      </c>
      <c r="B1" s="30"/>
      <c r="C1" s="30"/>
    </row>
    <row r="2" spans="1:3" ht="28.8" customHeight="1" x14ac:dyDescent="0.3">
      <c r="A2" s="29" t="s">
        <v>2682</v>
      </c>
      <c r="B2" s="30"/>
      <c r="C2" s="30"/>
    </row>
    <row r="4" spans="1:3" x14ac:dyDescent="0.3">
      <c r="A4" s="2" t="s">
        <v>2542</v>
      </c>
      <c r="B4" s="2" t="s">
        <v>2683</v>
      </c>
      <c r="C4" s="2" t="s">
        <v>2684</v>
      </c>
    </row>
    <row r="5" spans="1:3" ht="33.6" customHeight="1" x14ac:dyDescent="0.3">
      <c r="A5" s="4" t="s">
        <v>2685</v>
      </c>
      <c r="B5" s="4" t="s">
        <v>2686</v>
      </c>
      <c r="C5" s="4" t="s">
        <v>2687</v>
      </c>
    </row>
    <row r="6" spans="1:3" ht="33.6" customHeight="1" x14ac:dyDescent="0.3">
      <c r="A6" s="4" t="s">
        <v>2688</v>
      </c>
      <c r="B6" s="4" t="s">
        <v>2689</v>
      </c>
      <c r="C6" s="4" t="s">
        <v>2690</v>
      </c>
    </row>
    <row r="7" spans="1:3" ht="33.6" customHeight="1" x14ac:dyDescent="0.3">
      <c r="A7" s="4" t="s">
        <v>2691</v>
      </c>
      <c r="B7" s="4" t="s">
        <v>2692</v>
      </c>
      <c r="C7" s="4" t="s">
        <v>2693</v>
      </c>
    </row>
    <row r="8" spans="1:3" ht="33.6" customHeight="1" x14ac:dyDescent="0.3">
      <c r="A8" s="4" t="s">
        <v>2694</v>
      </c>
      <c r="B8" s="4" t="s">
        <v>2695</v>
      </c>
      <c r="C8" s="4" t="s">
        <v>2696</v>
      </c>
    </row>
    <row r="9" spans="1:3" ht="60.45" customHeight="1" x14ac:dyDescent="0.3">
      <c r="A9" s="4" t="s">
        <v>2697</v>
      </c>
      <c r="B9" s="20" t="s">
        <v>2698</v>
      </c>
      <c r="C9" s="4" t="s">
        <v>2699</v>
      </c>
    </row>
    <row r="10" spans="1:3" ht="33.6" customHeight="1" x14ac:dyDescent="0.3">
      <c r="A10" s="4" t="s">
        <v>2700</v>
      </c>
      <c r="B10" s="21" t="s">
        <v>2701</v>
      </c>
      <c r="C10" s="4" t="s">
        <v>2702</v>
      </c>
    </row>
    <row r="11" spans="1:3" ht="103.8" customHeight="1" x14ac:dyDescent="0.3">
      <c r="A11" s="4" t="s">
        <v>2703</v>
      </c>
      <c r="B11" s="18" t="s">
        <v>2704</v>
      </c>
      <c r="C11" s="4" t="s">
        <v>2705</v>
      </c>
    </row>
  </sheetData>
  <mergeCells count="2">
    <mergeCell ref="A1:C1"/>
    <mergeCell ref="A2:C2"/>
  </mergeCells>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8"/>
  <sheetViews>
    <sheetView topLeftCell="B1" workbookViewId="0">
      <selection sqref="A1:C1"/>
    </sheetView>
  </sheetViews>
  <sheetFormatPr defaultRowHeight="14.4" x14ac:dyDescent="0.3"/>
  <cols>
    <col min="1" max="1" width="24" customWidth="1"/>
    <col min="2" max="2" width="72" customWidth="1"/>
    <col min="3" max="3" width="30" customWidth="1"/>
  </cols>
  <sheetData>
    <row r="1" spans="1:3" ht="19.2" customHeight="1" x14ac:dyDescent="0.3">
      <c r="A1" s="31" t="s">
        <v>2706</v>
      </c>
      <c r="B1" s="30"/>
      <c r="C1" s="30"/>
    </row>
    <row r="2" spans="1:3" ht="28.8" customHeight="1" x14ac:dyDescent="0.3">
      <c r="A2" s="29" t="s">
        <v>2707</v>
      </c>
      <c r="B2" s="30"/>
      <c r="C2" s="30"/>
    </row>
    <row r="4" spans="1:3" x14ac:dyDescent="0.3">
      <c r="A4" s="2" t="s">
        <v>2708</v>
      </c>
      <c r="B4" s="2" t="s">
        <v>2709</v>
      </c>
      <c r="C4" s="2" t="s">
        <v>2523</v>
      </c>
    </row>
    <row r="5" spans="1:3" ht="27.15" customHeight="1" x14ac:dyDescent="0.3">
      <c r="A5" s="4" t="s">
        <v>2710</v>
      </c>
      <c r="B5" s="4" t="s">
        <v>2711</v>
      </c>
      <c r="C5" s="4" t="s">
        <v>2712</v>
      </c>
    </row>
    <row r="6" spans="1:3" ht="27.15" customHeight="1" x14ac:dyDescent="0.3">
      <c r="A6" s="4" t="s">
        <v>2713</v>
      </c>
      <c r="B6" s="4" t="s">
        <v>2714</v>
      </c>
      <c r="C6" s="4" t="s">
        <v>2715</v>
      </c>
    </row>
    <row r="7" spans="1:3" ht="27.15" customHeight="1" x14ac:dyDescent="0.3">
      <c r="A7" s="4" t="s">
        <v>13</v>
      </c>
      <c r="B7" s="4" t="s">
        <v>2716</v>
      </c>
      <c r="C7" s="4" t="s">
        <v>2717</v>
      </c>
    </row>
    <row r="8" spans="1:3" ht="27.15" customHeight="1" x14ac:dyDescent="0.3">
      <c r="A8" s="4" t="s">
        <v>2557</v>
      </c>
      <c r="B8" s="4" t="s">
        <v>2718</v>
      </c>
      <c r="C8" s="4" t="s">
        <v>2719</v>
      </c>
    </row>
  </sheetData>
  <mergeCells count="2">
    <mergeCell ref="A1:C1"/>
    <mergeCell ref="A2:C2"/>
  </mergeCells>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92"/>
  <sheetViews>
    <sheetView topLeftCell="E1" workbookViewId="0">
      <selection sqref="A1:H1"/>
    </sheetView>
  </sheetViews>
  <sheetFormatPr defaultRowHeight="14.4" x14ac:dyDescent="0.3"/>
  <cols>
    <col min="1" max="1" width="30" customWidth="1"/>
    <col min="2" max="2" width="20" customWidth="1"/>
    <col min="3" max="3" width="18" customWidth="1"/>
    <col min="4" max="4" width="23.88671875" customWidth="1"/>
    <col min="5" max="5" width="27.33203125" customWidth="1"/>
    <col min="6" max="11" width="10" customWidth="1"/>
  </cols>
  <sheetData>
    <row r="1" spans="1:11" ht="18" x14ac:dyDescent="0.3">
      <c r="A1" s="31" t="s">
        <v>2720</v>
      </c>
      <c r="B1" s="30"/>
      <c r="C1" s="30"/>
      <c r="D1" s="30"/>
      <c r="E1" s="30"/>
      <c r="F1" s="30"/>
      <c r="G1" s="30"/>
      <c r="H1" s="30"/>
    </row>
    <row r="2" spans="1:11" x14ac:dyDescent="0.3">
      <c r="A2" s="29" t="s">
        <v>2721</v>
      </c>
      <c r="B2" s="30"/>
      <c r="C2" s="30"/>
      <c r="D2" s="30"/>
      <c r="E2" s="30"/>
      <c r="F2" s="30"/>
      <c r="G2" s="30"/>
      <c r="H2" s="30"/>
    </row>
    <row r="3" spans="1:11" x14ac:dyDescent="0.3">
      <c r="A3" s="36" t="s">
        <v>2722</v>
      </c>
      <c r="B3" s="30"/>
      <c r="C3" s="30"/>
      <c r="D3" s="30"/>
      <c r="E3" s="30"/>
      <c r="F3" s="30"/>
      <c r="G3" s="30"/>
      <c r="H3" s="30"/>
    </row>
    <row r="5" spans="1:11" ht="18" x14ac:dyDescent="0.3">
      <c r="A5" s="35" t="s">
        <v>2723</v>
      </c>
      <c r="B5" s="35"/>
      <c r="C5" s="35"/>
      <c r="E5" s="35" t="s">
        <v>2724</v>
      </c>
      <c r="F5" s="35"/>
      <c r="G5" s="35"/>
      <c r="H5" s="35"/>
      <c r="I5" s="35"/>
      <c r="J5" s="35"/>
      <c r="K5" s="35"/>
    </row>
    <row r="6" spans="1:11" ht="28.8" x14ac:dyDescent="0.3">
      <c r="A6" s="14" t="s">
        <v>2725</v>
      </c>
      <c r="B6" s="14" t="s">
        <v>2726</v>
      </c>
      <c r="C6" s="14" t="s">
        <v>2727</v>
      </c>
      <c r="E6" s="14" t="s">
        <v>2182</v>
      </c>
      <c r="F6" s="14" t="s">
        <v>210</v>
      </c>
      <c r="G6" s="14" t="s">
        <v>260</v>
      </c>
      <c r="H6" s="14" t="s">
        <v>51</v>
      </c>
      <c r="I6" s="14" t="s">
        <v>66</v>
      </c>
      <c r="J6" s="14" t="s">
        <v>127</v>
      </c>
      <c r="K6" s="14" t="s">
        <v>885</v>
      </c>
    </row>
    <row r="7" spans="1:11" x14ac:dyDescent="0.3">
      <c r="A7" s="15" t="s">
        <v>210</v>
      </c>
      <c r="B7" s="15">
        <v>38</v>
      </c>
      <c r="C7" s="16">
        <v>0.22900000000000001</v>
      </c>
      <c r="E7" s="15" t="s">
        <v>17</v>
      </c>
      <c r="F7" s="15">
        <v>19</v>
      </c>
      <c r="G7" s="15">
        <v>39</v>
      </c>
      <c r="H7" s="15">
        <v>8</v>
      </c>
      <c r="I7" s="15">
        <v>71</v>
      </c>
      <c r="J7" s="15">
        <v>67</v>
      </c>
      <c r="K7" s="15">
        <v>8</v>
      </c>
    </row>
    <row r="8" spans="1:11" x14ac:dyDescent="0.3">
      <c r="A8" s="15" t="s">
        <v>260</v>
      </c>
      <c r="B8" s="15">
        <v>75</v>
      </c>
      <c r="C8" s="16">
        <v>0.45200000000000001</v>
      </c>
      <c r="E8" s="15" t="s">
        <v>773</v>
      </c>
      <c r="F8" s="15">
        <v>3</v>
      </c>
      <c r="G8" s="15">
        <v>2</v>
      </c>
      <c r="H8" s="15">
        <v>0</v>
      </c>
      <c r="I8" s="15">
        <v>5</v>
      </c>
      <c r="J8" s="15">
        <v>9</v>
      </c>
      <c r="K8" s="15">
        <v>3</v>
      </c>
    </row>
    <row r="9" spans="1:11" x14ac:dyDescent="0.3">
      <c r="A9" s="15" t="s">
        <v>51</v>
      </c>
      <c r="B9" s="15">
        <v>21</v>
      </c>
      <c r="C9" s="16">
        <v>0.127</v>
      </c>
      <c r="E9" s="15" t="s">
        <v>1494</v>
      </c>
      <c r="F9" s="15">
        <v>16</v>
      </c>
      <c r="G9" s="15">
        <v>34</v>
      </c>
      <c r="H9" s="15">
        <v>13</v>
      </c>
      <c r="I9" s="15">
        <v>47</v>
      </c>
      <c r="J9" s="15">
        <v>51</v>
      </c>
      <c r="K9" s="15">
        <v>3</v>
      </c>
    </row>
    <row r="10" spans="1:11" x14ac:dyDescent="0.3">
      <c r="A10" s="15" t="s">
        <v>66</v>
      </c>
      <c r="B10" s="15">
        <v>123</v>
      </c>
      <c r="C10" s="16">
        <v>0.74099999999999999</v>
      </c>
    </row>
    <row r="11" spans="1:11" x14ac:dyDescent="0.3">
      <c r="A11" s="15" t="s">
        <v>127</v>
      </c>
      <c r="B11" s="15">
        <v>127</v>
      </c>
      <c r="C11" s="16">
        <v>0.76500000000000001</v>
      </c>
    </row>
    <row r="12" spans="1:11" x14ac:dyDescent="0.3">
      <c r="A12" t="s">
        <v>885</v>
      </c>
      <c r="B12">
        <v>14</v>
      </c>
      <c r="C12" s="17">
        <v>8.4000000000000005E-2</v>
      </c>
    </row>
    <row r="15" spans="1:11" ht="18" x14ac:dyDescent="0.3">
      <c r="A15" s="35" t="s">
        <v>2728</v>
      </c>
      <c r="B15" s="35"/>
    </row>
    <row r="16" spans="1:11" ht="28.8" x14ac:dyDescent="0.3">
      <c r="A16" s="14" t="s">
        <v>2729</v>
      </c>
      <c r="B16" s="14" t="s">
        <v>2543</v>
      </c>
    </row>
    <row r="17" spans="1:4" x14ac:dyDescent="0.3">
      <c r="A17" s="15" t="s">
        <v>2730</v>
      </c>
      <c r="B17" s="15">
        <v>28</v>
      </c>
    </row>
    <row r="18" spans="1:4" x14ac:dyDescent="0.3">
      <c r="A18" s="15" t="s">
        <v>2731</v>
      </c>
      <c r="B18" s="15">
        <v>63</v>
      </c>
    </row>
    <row r="19" spans="1:4" x14ac:dyDescent="0.3">
      <c r="A19" s="15" t="s">
        <v>2732</v>
      </c>
      <c r="B19" s="15">
        <v>58</v>
      </c>
    </row>
    <row r="20" spans="1:4" x14ac:dyDescent="0.3">
      <c r="A20" s="15" t="s">
        <v>2733</v>
      </c>
      <c r="B20" s="15">
        <v>15</v>
      </c>
    </row>
    <row r="21" spans="1:4" x14ac:dyDescent="0.3">
      <c r="A21" s="15" t="s">
        <v>2734</v>
      </c>
      <c r="B21" s="15">
        <v>2</v>
      </c>
    </row>
    <row r="22" spans="1:4" x14ac:dyDescent="0.3">
      <c r="A22" s="15" t="s">
        <v>2735</v>
      </c>
      <c r="B22" s="15">
        <v>0</v>
      </c>
    </row>
    <row r="23" spans="1:4" x14ac:dyDescent="0.3">
      <c r="A23" s="14" t="s">
        <v>2518</v>
      </c>
      <c r="B23" s="14">
        <v>166</v>
      </c>
      <c r="C23" t="s">
        <v>2736</v>
      </c>
    </row>
    <row r="24" spans="1:4" x14ac:dyDescent="0.3">
      <c r="C24" t="s">
        <v>2736</v>
      </c>
    </row>
    <row r="25" spans="1:4" ht="18" x14ac:dyDescent="0.3">
      <c r="A25" s="1" t="s">
        <v>2737</v>
      </c>
      <c r="C25" t="s">
        <v>2736</v>
      </c>
    </row>
    <row r="26" spans="1:4" ht="28.8" x14ac:dyDescent="0.3">
      <c r="A26" s="14" t="s">
        <v>2738</v>
      </c>
      <c r="B26" s="14" t="s">
        <v>2182</v>
      </c>
      <c r="C26" s="14" t="s">
        <v>2739</v>
      </c>
      <c r="D26" s="14" t="s">
        <v>2740</v>
      </c>
    </row>
    <row r="27" spans="1:4" x14ac:dyDescent="0.3">
      <c r="A27" s="15" t="s">
        <v>819</v>
      </c>
      <c r="B27" s="15" t="s">
        <v>773</v>
      </c>
      <c r="C27" s="15" t="s">
        <v>18</v>
      </c>
      <c r="D27" s="15" t="s">
        <v>37</v>
      </c>
    </row>
    <row r="28" spans="1:4" x14ac:dyDescent="0.3">
      <c r="A28" s="15" t="s">
        <v>855</v>
      </c>
      <c r="B28" s="15" t="s">
        <v>773</v>
      </c>
      <c r="C28" s="15" t="s">
        <v>18</v>
      </c>
      <c r="D28" s="15" t="s">
        <v>660</v>
      </c>
    </row>
    <row r="29" spans="1:4" x14ac:dyDescent="0.3">
      <c r="A29" s="15" t="s">
        <v>892</v>
      </c>
      <c r="B29" s="15" t="s">
        <v>773</v>
      </c>
      <c r="C29" s="15" t="s">
        <v>18</v>
      </c>
      <c r="D29" s="15" t="s">
        <v>898</v>
      </c>
    </row>
    <row r="30" spans="1:4" x14ac:dyDescent="0.3">
      <c r="A30" s="15" t="s">
        <v>899</v>
      </c>
      <c r="B30" s="15" t="s">
        <v>773</v>
      </c>
      <c r="C30" s="15" t="s">
        <v>18</v>
      </c>
      <c r="D30" s="15" t="s">
        <v>161</v>
      </c>
    </row>
    <row r="31" spans="1:4" x14ac:dyDescent="0.3">
      <c r="A31" s="15" t="s">
        <v>911</v>
      </c>
      <c r="B31" s="15" t="s">
        <v>773</v>
      </c>
      <c r="C31" s="15" t="s">
        <v>18</v>
      </c>
      <c r="D31" s="15" t="s">
        <v>23</v>
      </c>
    </row>
    <row r="32" spans="1:4" x14ac:dyDescent="0.3">
      <c r="A32" s="15" t="s">
        <v>923</v>
      </c>
      <c r="B32" s="15" t="s">
        <v>773</v>
      </c>
      <c r="C32" s="15" t="s">
        <v>18</v>
      </c>
      <c r="D32" s="15" t="s">
        <v>120</v>
      </c>
    </row>
    <row r="33" spans="1:4" x14ac:dyDescent="0.3">
      <c r="A33" s="15" t="s">
        <v>954</v>
      </c>
      <c r="B33" s="15" t="s">
        <v>773</v>
      </c>
      <c r="C33" s="15" t="s">
        <v>18</v>
      </c>
      <c r="D33" s="15" t="s">
        <v>37</v>
      </c>
    </row>
    <row r="34" spans="1:4" x14ac:dyDescent="0.3">
      <c r="A34" s="15" t="s">
        <v>960</v>
      </c>
      <c r="B34" s="15" t="s">
        <v>773</v>
      </c>
      <c r="C34" s="15" t="s">
        <v>18</v>
      </c>
      <c r="D34" s="15" t="s">
        <v>660</v>
      </c>
    </row>
    <row r="35" spans="1:4" x14ac:dyDescent="0.3">
      <c r="A35" s="15" t="s">
        <v>1027</v>
      </c>
      <c r="B35" s="15" t="s">
        <v>773</v>
      </c>
      <c r="C35" s="15" t="s">
        <v>18</v>
      </c>
      <c r="D35" s="15" t="s">
        <v>127</v>
      </c>
    </row>
    <row r="36" spans="1:4" x14ac:dyDescent="0.3">
      <c r="A36" s="15" t="s">
        <v>14</v>
      </c>
      <c r="B36" s="15" t="s">
        <v>17</v>
      </c>
      <c r="C36" s="15" t="s">
        <v>18</v>
      </c>
      <c r="D36" s="15" t="s">
        <v>23</v>
      </c>
    </row>
    <row r="37" spans="1:4" x14ac:dyDescent="0.3">
      <c r="A37" s="15" t="s">
        <v>25</v>
      </c>
      <c r="B37" s="15" t="s">
        <v>17</v>
      </c>
      <c r="C37" s="15" t="s">
        <v>18</v>
      </c>
      <c r="D37" s="15" t="s">
        <v>23</v>
      </c>
    </row>
    <row r="38" spans="1:4" x14ac:dyDescent="0.3">
      <c r="A38" s="15" t="s">
        <v>31</v>
      </c>
      <c r="B38" s="15" t="s">
        <v>17</v>
      </c>
      <c r="C38" s="15" t="s">
        <v>18</v>
      </c>
      <c r="D38" s="15" t="s">
        <v>37</v>
      </c>
    </row>
    <row r="39" spans="1:4" x14ac:dyDescent="0.3">
      <c r="A39" s="15" t="s">
        <v>38</v>
      </c>
      <c r="B39" s="15" t="s">
        <v>17</v>
      </c>
      <c r="C39" s="15" t="s">
        <v>18</v>
      </c>
      <c r="D39" s="15" t="s">
        <v>37</v>
      </c>
    </row>
    <row r="40" spans="1:4" x14ac:dyDescent="0.3">
      <c r="A40" s="15" t="s">
        <v>53</v>
      </c>
      <c r="B40" s="15" t="s">
        <v>17</v>
      </c>
      <c r="C40" s="15" t="s">
        <v>18</v>
      </c>
      <c r="D40" s="15" t="s">
        <v>59</v>
      </c>
    </row>
    <row r="41" spans="1:4" x14ac:dyDescent="0.3">
      <c r="A41" s="15" t="s">
        <v>67</v>
      </c>
      <c r="B41" s="15" t="s">
        <v>17</v>
      </c>
      <c r="C41" s="15" t="s">
        <v>18</v>
      </c>
      <c r="D41" s="15" t="s">
        <v>23</v>
      </c>
    </row>
    <row r="42" spans="1:4" x14ac:dyDescent="0.3">
      <c r="A42" s="15" t="s">
        <v>82</v>
      </c>
      <c r="B42" s="15" t="s">
        <v>17</v>
      </c>
      <c r="C42" s="15" t="s">
        <v>18</v>
      </c>
      <c r="D42" s="15" t="s">
        <v>23</v>
      </c>
    </row>
    <row r="43" spans="1:4" x14ac:dyDescent="0.3">
      <c r="A43" s="15" t="s">
        <v>95</v>
      </c>
      <c r="B43" s="15" t="s">
        <v>17</v>
      </c>
      <c r="C43" s="15" t="s">
        <v>18</v>
      </c>
      <c r="D43" s="15" t="s">
        <v>101</v>
      </c>
    </row>
    <row r="44" spans="1:4" x14ac:dyDescent="0.3">
      <c r="A44" s="15" t="s">
        <v>102</v>
      </c>
      <c r="B44" s="15" t="s">
        <v>17</v>
      </c>
      <c r="C44" s="15" t="s">
        <v>18</v>
      </c>
      <c r="D44" s="15" t="s">
        <v>80</v>
      </c>
    </row>
    <row r="45" spans="1:4" x14ac:dyDescent="0.3">
      <c r="A45" s="15" t="s">
        <v>114</v>
      </c>
      <c r="B45" s="15" t="s">
        <v>17</v>
      </c>
      <c r="C45" s="15" t="s">
        <v>18</v>
      </c>
      <c r="D45" s="15" t="s">
        <v>120</v>
      </c>
    </row>
    <row r="46" spans="1:4" x14ac:dyDescent="0.3">
      <c r="A46" s="15" t="s">
        <v>135</v>
      </c>
      <c r="B46" s="15" t="s">
        <v>17</v>
      </c>
      <c r="C46" s="15" t="s">
        <v>18</v>
      </c>
      <c r="D46" s="15" t="s">
        <v>141</v>
      </c>
    </row>
    <row r="47" spans="1:4" x14ac:dyDescent="0.3">
      <c r="A47" s="15" t="s">
        <v>142</v>
      </c>
      <c r="B47" s="15" t="s">
        <v>17</v>
      </c>
      <c r="C47" s="15" t="s">
        <v>18</v>
      </c>
      <c r="D47" s="15" t="s">
        <v>23</v>
      </c>
    </row>
    <row r="48" spans="1:4" x14ac:dyDescent="0.3">
      <c r="A48" s="15" t="s">
        <v>162</v>
      </c>
      <c r="B48" s="15" t="s">
        <v>17</v>
      </c>
      <c r="C48" s="15" t="s">
        <v>18</v>
      </c>
      <c r="D48" s="15" t="s">
        <v>120</v>
      </c>
    </row>
    <row r="49" spans="1:4" x14ac:dyDescent="0.3">
      <c r="A49" s="15" t="s">
        <v>168</v>
      </c>
      <c r="B49" s="15" t="s">
        <v>17</v>
      </c>
      <c r="C49" s="15" t="s">
        <v>18</v>
      </c>
      <c r="D49" s="15" t="s">
        <v>37</v>
      </c>
    </row>
    <row r="50" spans="1:4" x14ac:dyDescent="0.3">
      <c r="A50" s="15" t="s">
        <v>186</v>
      </c>
      <c r="B50" s="15" t="s">
        <v>17</v>
      </c>
      <c r="C50" s="15" t="s">
        <v>18</v>
      </c>
      <c r="D50" s="15" t="s">
        <v>23</v>
      </c>
    </row>
    <row r="51" spans="1:4" x14ac:dyDescent="0.3">
      <c r="A51" s="15" t="s">
        <v>192</v>
      </c>
      <c r="B51" s="15" t="s">
        <v>17</v>
      </c>
      <c r="C51" s="15" t="s">
        <v>18</v>
      </c>
      <c r="D51" s="15" t="s">
        <v>161</v>
      </c>
    </row>
    <row r="52" spans="1:4" x14ac:dyDescent="0.3">
      <c r="A52" s="15" t="s">
        <v>198</v>
      </c>
      <c r="B52" s="15" t="s">
        <v>17</v>
      </c>
      <c r="C52" s="15" t="s">
        <v>18</v>
      </c>
      <c r="D52" s="15" t="s">
        <v>51</v>
      </c>
    </row>
    <row r="53" spans="1:4" x14ac:dyDescent="0.3">
      <c r="A53" s="15" t="s">
        <v>211</v>
      </c>
      <c r="B53" s="15" t="s">
        <v>17</v>
      </c>
      <c r="C53" s="15" t="s">
        <v>18</v>
      </c>
      <c r="D53" s="15" t="s">
        <v>37</v>
      </c>
    </row>
    <row r="54" spans="1:4" x14ac:dyDescent="0.3">
      <c r="A54" s="15" t="s">
        <v>217</v>
      </c>
      <c r="B54" s="15" t="s">
        <v>17</v>
      </c>
      <c r="C54" s="15" t="s">
        <v>18</v>
      </c>
      <c r="D54" s="15" t="s">
        <v>37</v>
      </c>
    </row>
    <row r="55" spans="1:4" x14ac:dyDescent="0.3">
      <c r="A55" s="15" t="s">
        <v>223</v>
      </c>
      <c r="B55" s="15" t="s">
        <v>17</v>
      </c>
      <c r="C55" s="15" t="s">
        <v>18</v>
      </c>
      <c r="D55" s="15" t="s">
        <v>37</v>
      </c>
    </row>
    <row r="56" spans="1:4" x14ac:dyDescent="0.3">
      <c r="A56" s="15" t="s">
        <v>229</v>
      </c>
      <c r="B56" s="15" t="s">
        <v>17</v>
      </c>
      <c r="C56" s="15" t="s">
        <v>18</v>
      </c>
      <c r="D56" s="15" t="s">
        <v>235</v>
      </c>
    </row>
    <row r="57" spans="1:4" x14ac:dyDescent="0.3">
      <c r="A57" s="15" t="s">
        <v>254</v>
      </c>
      <c r="B57" s="15" t="s">
        <v>17</v>
      </c>
      <c r="C57" s="15" t="s">
        <v>18</v>
      </c>
      <c r="D57" s="15" t="s">
        <v>260</v>
      </c>
    </row>
    <row r="58" spans="1:4" x14ac:dyDescent="0.3">
      <c r="A58" s="15" t="s">
        <v>267</v>
      </c>
      <c r="B58" s="15" t="s">
        <v>17</v>
      </c>
      <c r="C58" s="15" t="s">
        <v>18</v>
      </c>
      <c r="D58" s="15" t="s">
        <v>273</v>
      </c>
    </row>
    <row r="59" spans="1:4" x14ac:dyDescent="0.3">
      <c r="A59" s="15" t="s">
        <v>274</v>
      </c>
      <c r="B59" s="15" t="s">
        <v>17</v>
      </c>
      <c r="C59" s="15" t="s">
        <v>18</v>
      </c>
      <c r="D59" s="15" t="s">
        <v>23</v>
      </c>
    </row>
    <row r="60" spans="1:4" x14ac:dyDescent="0.3">
      <c r="A60" s="15" t="s">
        <v>280</v>
      </c>
      <c r="B60" s="15" t="s">
        <v>17</v>
      </c>
      <c r="C60" s="15" t="s">
        <v>18</v>
      </c>
      <c r="D60" s="15" t="s">
        <v>286</v>
      </c>
    </row>
    <row r="61" spans="1:4" x14ac:dyDescent="0.3">
      <c r="A61" s="15" t="s">
        <v>293</v>
      </c>
      <c r="B61" s="15" t="s">
        <v>17</v>
      </c>
      <c r="C61" s="15" t="s">
        <v>18</v>
      </c>
      <c r="D61" s="15" t="s">
        <v>120</v>
      </c>
    </row>
    <row r="62" spans="1:4" x14ac:dyDescent="0.3">
      <c r="A62" s="15" t="s">
        <v>299</v>
      </c>
      <c r="B62" s="15" t="s">
        <v>17</v>
      </c>
      <c r="C62" s="15" t="s">
        <v>18</v>
      </c>
      <c r="D62" s="15" t="s">
        <v>66</v>
      </c>
    </row>
    <row r="63" spans="1:4" x14ac:dyDescent="0.3">
      <c r="A63" s="15" t="s">
        <v>305</v>
      </c>
      <c r="B63" s="15" t="s">
        <v>17</v>
      </c>
      <c r="C63" s="15" t="s">
        <v>18</v>
      </c>
      <c r="D63" s="15" t="s">
        <v>66</v>
      </c>
    </row>
    <row r="64" spans="1:4" x14ac:dyDescent="0.3">
      <c r="A64" s="15" t="s">
        <v>317</v>
      </c>
      <c r="B64" s="15" t="s">
        <v>17</v>
      </c>
      <c r="C64" s="15" t="s">
        <v>18</v>
      </c>
      <c r="D64" s="15" t="s">
        <v>37</v>
      </c>
    </row>
    <row r="65" spans="1:4" x14ac:dyDescent="0.3">
      <c r="A65" s="15" t="s">
        <v>323</v>
      </c>
      <c r="B65" s="15" t="s">
        <v>17</v>
      </c>
      <c r="C65" s="15" t="s">
        <v>18</v>
      </c>
      <c r="D65" s="15" t="s">
        <v>23</v>
      </c>
    </row>
    <row r="66" spans="1:4" x14ac:dyDescent="0.3">
      <c r="A66" s="15" t="s">
        <v>329</v>
      </c>
      <c r="B66" s="15" t="s">
        <v>17</v>
      </c>
      <c r="C66" s="15" t="s">
        <v>18</v>
      </c>
      <c r="D66" s="15" t="s">
        <v>23</v>
      </c>
    </row>
    <row r="67" spans="1:4" x14ac:dyDescent="0.3">
      <c r="A67" s="15" t="s">
        <v>335</v>
      </c>
      <c r="B67" s="15" t="s">
        <v>17</v>
      </c>
      <c r="C67" s="15" t="s">
        <v>18</v>
      </c>
      <c r="D67" s="15" t="s">
        <v>141</v>
      </c>
    </row>
    <row r="68" spans="1:4" x14ac:dyDescent="0.3">
      <c r="A68" s="15" t="s">
        <v>347</v>
      </c>
      <c r="B68" s="15" t="s">
        <v>17</v>
      </c>
      <c r="C68" s="15" t="s">
        <v>18</v>
      </c>
      <c r="D68" s="15" t="s">
        <v>353</v>
      </c>
    </row>
    <row r="69" spans="1:4" x14ac:dyDescent="0.3">
      <c r="A69" s="15" t="s">
        <v>360</v>
      </c>
      <c r="B69" s="15" t="s">
        <v>17</v>
      </c>
      <c r="C69" s="15" t="s">
        <v>18</v>
      </c>
      <c r="D69" s="15" t="s">
        <v>94</v>
      </c>
    </row>
    <row r="70" spans="1:4" x14ac:dyDescent="0.3">
      <c r="A70" s="15" t="s">
        <v>366</v>
      </c>
      <c r="B70" s="15" t="s">
        <v>17</v>
      </c>
      <c r="C70" s="15" t="s">
        <v>18</v>
      </c>
      <c r="D70" s="15" t="s">
        <v>161</v>
      </c>
    </row>
    <row r="71" spans="1:4" x14ac:dyDescent="0.3">
      <c r="A71" s="15" t="s">
        <v>378</v>
      </c>
      <c r="B71" s="15" t="s">
        <v>17</v>
      </c>
      <c r="C71" s="15" t="s">
        <v>18</v>
      </c>
      <c r="D71" s="15" t="s">
        <v>23</v>
      </c>
    </row>
    <row r="72" spans="1:4" x14ac:dyDescent="0.3">
      <c r="A72" s="15" t="s">
        <v>384</v>
      </c>
      <c r="B72" s="15" t="s">
        <v>17</v>
      </c>
      <c r="C72" s="15" t="s">
        <v>18</v>
      </c>
      <c r="D72" s="15" t="s">
        <v>23</v>
      </c>
    </row>
    <row r="73" spans="1:4" x14ac:dyDescent="0.3">
      <c r="A73" s="15" t="s">
        <v>390</v>
      </c>
      <c r="B73" s="15" t="s">
        <v>17</v>
      </c>
      <c r="C73" s="15" t="s">
        <v>18</v>
      </c>
      <c r="D73" s="15" t="s">
        <v>37</v>
      </c>
    </row>
    <row r="74" spans="1:4" x14ac:dyDescent="0.3">
      <c r="A74" s="15" t="s">
        <v>396</v>
      </c>
      <c r="B74" s="15" t="s">
        <v>17</v>
      </c>
      <c r="C74" s="15" t="s">
        <v>18</v>
      </c>
      <c r="D74" s="15" t="s">
        <v>353</v>
      </c>
    </row>
    <row r="75" spans="1:4" x14ac:dyDescent="0.3">
      <c r="A75" s="15" t="s">
        <v>408</v>
      </c>
      <c r="B75" s="15" t="s">
        <v>17</v>
      </c>
      <c r="C75" s="15" t="s">
        <v>18</v>
      </c>
      <c r="D75" s="15" t="s">
        <v>37</v>
      </c>
    </row>
    <row r="76" spans="1:4" x14ac:dyDescent="0.3">
      <c r="A76" s="15" t="s">
        <v>414</v>
      </c>
      <c r="B76" s="15" t="s">
        <v>17</v>
      </c>
      <c r="C76" s="15" t="s">
        <v>18</v>
      </c>
      <c r="D76" s="15" t="s">
        <v>420</v>
      </c>
    </row>
    <row r="77" spans="1:4" x14ac:dyDescent="0.3">
      <c r="A77" s="15" t="s">
        <v>421</v>
      </c>
      <c r="B77" s="15" t="s">
        <v>17</v>
      </c>
      <c r="C77" s="15" t="s">
        <v>18</v>
      </c>
      <c r="D77" s="15" t="s">
        <v>353</v>
      </c>
    </row>
    <row r="78" spans="1:4" x14ac:dyDescent="0.3">
      <c r="A78" s="15" t="s">
        <v>427</v>
      </c>
      <c r="B78" s="15" t="s">
        <v>17</v>
      </c>
      <c r="C78" s="15" t="s">
        <v>18</v>
      </c>
      <c r="D78" s="15" t="s">
        <v>134</v>
      </c>
    </row>
    <row r="79" spans="1:4" x14ac:dyDescent="0.3">
      <c r="A79" s="15" t="s">
        <v>433</v>
      </c>
      <c r="B79" s="15" t="s">
        <v>17</v>
      </c>
      <c r="C79" s="15" t="s">
        <v>18</v>
      </c>
      <c r="D79" s="15" t="s">
        <v>260</v>
      </c>
    </row>
    <row r="80" spans="1:4" x14ac:dyDescent="0.3">
      <c r="A80" s="15" t="s">
        <v>439</v>
      </c>
      <c r="B80" s="15" t="s">
        <v>17</v>
      </c>
      <c r="C80" s="15" t="s">
        <v>18</v>
      </c>
      <c r="D80" s="15" t="s">
        <v>37</v>
      </c>
    </row>
    <row r="81" spans="1:4" x14ac:dyDescent="0.3">
      <c r="A81" s="15" t="s">
        <v>458</v>
      </c>
      <c r="B81" s="15" t="s">
        <v>17</v>
      </c>
      <c r="C81" s="15" t="s">
        <v>18</v>
      </c>
      <c r="D81" s="15" t="s">
        <v>51</v>
      </c>
    </row>
    <row r="82" spans="1:4" x14ac:dyDescent="0.3">
      <c r="A82" s="15" t="s">
        <v>464</v>
      </c>
      <c r="B82" s="15" t="s">
        <v>17</v>
      </c>
      <c r="C82" s="15" t="s">
        <v>18</v>
      </c>
      <c r="D82" s="15" t="s">
        <v>470</v>
      </c>
    </row>
    <row r="83" spans="1:4" x14ac:dyDescent="0.3">
      <c r="A83" s="15" t="s">
        <v>471</v>
      </c>
      <c r="B83" s="15" t="s">
        <v>17</v>
      </c>
      <c r="C83" s="15" t="s">
        <v>18</v>
      </c>
      <c r="D83" s="15" t="s">
        <v>37</v>
      </c>
    </row>
    <row r="84" spans="1:4" x14ac:dyDescent="0.3">
      <c r="A84" s="15" t="s">
        <v>477</v>
      </c>
      <c r="B84" s="15" t="s">
        <v>17</v>
      </c>
      <c r="C84" s="15" t="s">
        <v>18</v>
      </c>
      <c r="D84" s="15" t="s">
        <v>66</v>
      </c>
    </row>
    <row r="85" spans="1:4" x14ac:dyDescent="0.3">
      <c r="A85" s="15" t="s">
        <v>483</v>
      </c>
      <c r="B85" s="15" t="s">
        <v>17</v>
      </c>
      <c r="C85" s="15" t="s">
        <v>18</v>
      </c>
      <c r="D85" s="15" t="s">
        <v>353</v>
      </c>
    </row>
    <row r="86" spans="1:4" x14ac:dyDescent="0.3">
      <c r="A86" s="15" t="s">
        <v>495</v>
      </c>
      <c r="B86" s="15" t="s">
        <v>17</v>
      </c>
      <c r="C86" s="15" t="s">
        <v>18</v>
      </c>
      <c r="D86" s="15" t="s">
        <v>120</v>
      </c>
    </row>
    <row r="87" spans="1:4" x14ac:dyDescent="0.3">
      <c r="A87" s="15" t="s">
        <v>501</v>
      </c>
      <c r="B87" s="15" t="s">
        <v>17</v>
      </c>
      <c r="C87" s="15" t="s">
        <v>18</v>
      </c>
      <c r="D87" s="15" t="s">
        <v>37</v>
      </c>
    </row>
    <row r="88" spans="1:4" x14ac:dyDescent="0.3">
      <c r="A88" s="15" t="s">
        <v>519</v>
      </c>
      <c r="B88" s="15" t="s">
        <v>17</v>
      </c>
      <c r="C88" s="15" t="s">
        <v>18</v>
      </c>
      <c r="D88" s="15" t="s">
        <v>37</v>
      </c>
    </row>
    <row r="89" spans="1:4" x14ac:dyDescent="0.3">
      <c r="A89" s="15" t="s">
        <v>525</v>
      </c>
      <c r="B89" s="15" t="s">
        <v>17</v>
      </c>
      <c r="C89" s="15" t="s">
        <v>18</v>
      </c>
      <c r="D89" s="15" t="s">
        <v>141</v>
      </c>
    </row>
    <row r="90" spans="1:4" x14ac:dyDescent="0.3">
      <c r="A90" s="15" t="s">
        <v>543</v>
      </c>
      <c r="B90" s="15" t="s">
        <v>17</v>
      </c>
      <c r="C90" s="15" t="s">
        <v>18</v>
      </c>
      <c r="D90" s="15" t="s">
        <v>23</v>
      </c>
    </row>
    <row r="91" spans="1:4" x14ac:dyDescent="0.3">
      <c r="A91" s="15" t="s">
        <v>555</v>
      </c>
      <c r="B91" s="15" t="s">
        <v>17</v>
      </c>
      <c r="C91" s="15" t="s">
        <v>18</v>
      </c>
      <c r="D91" s="15" t="s">
        <v>37</v>
      </c>
    </row>
    <row r="92" spans="1:4" x14ac:dyDescent="0.3">
      <c r="A92" s="15" t="s">
        <v>561</v>
      </c>
      <c r="B92" s="15" t="s">
        <v>17</v>
      </c>
      <c r="C92" s="15" t="s">
        <v>18</v>
      </c>
      <c r="D92" s="15" t="s">
        <v>23</v>
      </c>
    </row>
    <row r="93" spans="1:4" x14ac:dyDescent="0.3">
      <c r="A93" s="15" t="s">
        <v>567</v>
      </c>
      <c r="B93" s="15" t="s">
        <v>17</v>
      </c>
      <c r="C93" s="15" t="s">
        <v>18</v>
      </c>
      <c r="D93" s="15" t="s">
        <v>353</v>
      </c>
    </row>
    <row r="94" spans="1:4" x14ac:dyDescent="0.3">
      <c r="A94" s="15" t="s">
        <v>573</v>
      </c>
      <c r="B94" s="15" t="s">
        <v>17</v>
      </c>
      <c r="C94" s="15" t="s">
        <v>18</v>
      </c>
      <c r="D94" s="15" t="s">
        <v>579</v>
      </c>
    </row>
    <row r="95" spans="1:4" x14ac:dyDescent="0.3">
      <c r="A95" s="15" t="s">
        <v>580</v>
      </c>
      <c r="B95" s="15" t="s">
        <v>17</v>
      </c>
      <c r="C95" s="15" t="s">
        <v>18</v>
      </c>
      <c r="D95" s="15" t="s">
        <v>286</v>
      </c>
    </row>
    <row r="96" spans="1:4" x14ac:dyDescent="0.3">
      <c r="A96" s="15" t="s">
        <v>586</v>
      </c>
      <c r="B96" s="15" t="s">
        <v>17</v>
      </c>
      <c r="C96" s="15" t="s">
        <v>18</v>
      </c>
      <c r="D96" s="15" t="s">
        <v>37</v>
      </c>
    </row>
    <row r="97" spans="1:4" x14ac:dyDescent="0.3">
      <c r="A97" s="15" t="s">
        <v>610</v>
      </c>
      <c r="B97" s="15" t="s">
        <v>17</v>
      </c>
      <c r="C97" s="15" t="s">
        <v>18</v>
      </c>
      <c r="D97" s="15" t="s">
        <v>616</v>
      </c>
    </row>
    <row r="98" spans="1:4" x14ac:dyDescent="0.3">
      <c r="A98" s="15" t="s">
        <v>617</v>
      </c>
      <c r="B98" s="15" t="s">
        <v>17</v>
      </c>
      <c r="C98" s="15" t="s">
        <v>18</v>
      </c>
      <c r="D98" s="15" t="s">
        <v>66</v>
      </c>
    </row>
    <row r="99" spans="1:4" x14ac:dyDescent="0.3">
      <c r="A99" s="15" t="s">
        <v>623</v>
      </c>
      <c r="B99" s="15" t="s">
        <v>17</v>
      </c>
      <c r="C99" s="15" t="s">
        <v>18</v>
      </c>
      <c r="D99" s="15" t="s">
        <v>141</v>
      </c>
    </row>
    <row r="100" spans="1:4" x14ac:dyDescent="0.3">
      <c r="A100" s="15" t="s">
        <v>629</v>
      </c>
      <c r="B100" s="15" t="s">
        <v>17</v>
      </c>
      <c r="C100" s="15" t="s">
        <v>18</v>
      </c>
      <c r="D100" s="15" t="s">
        <v>23</v>
      </c>
    </row>
    <row r="101" spans="1:4" x14ac:dyDescent="0.3">
      <c r="A101" s="15" t="s">
        <v>635</v>
      </c>
      <c r="B101" s="15" t="s">
        <v>17</v>
      </c>
      <c r="C101" s="15" t="s">
        <v>18</v>
      </c>
      <c r="D101" s="15" t="s">
        <v>127</v>
      </c>
    </row>
    <row r="102" spans="1:4" x14ac:dyDescent="0.3">
      <c r="A102" s="15" t="s">
        <v>661</v>
      </c>
      <c r="B102" s="15" t="s">
        <v>17</v>
      </c>
      <c r="C102" s="15" t="s">
        <v>18</v>
      </c>
      <c r="D102" s="15" t="s">
        <v>23</v>
      </c>
    </row>
    <row r="103" spans="1:4" x14ac:dyDescent="0.3">
      <c r="A103" s="15" t="s">
        <v>667</v>
      </c>
      <c r="B103" s="15" t="s">
        <v>17</v>
      </c>
      <c r="C103" s="15" t="s">
        <v>18</v>
      </c>
      <c r="D103" s="15" t="s">
        <v>127</v>
      </c>
    </row>
    <row r="104" spans="1:4" x14ac:dyDescent="0.3">
      <c r="A104" s="15" t="s">
        <v>673</v>
      </c>
      <c r="B104" s="15" t="s">
        <v>17</v>
      </c>
      <c r="C104" s="15" t="s">
        <v>18</v>
      </c>
      <c r="D104" s="15" t="s">
        <v>37</v>
      </c>
    </row>
    <row r="105" spans="1:4" x14ac:dyDescent="0.3">
      <c r="A105" s="15" t="s">
        <v>679</v>
      </c>
      <c r="B105" s="15" t="s">
        <v>17</v>
      </c>
      <c r="C105" s="15" t="s">
        <v>18</v>
      </c>
      <c r="D105" s="15" t="s">
        <v>37</v>
      </c>
    </row>
    <row r="106" spans="1:4" x14ac:dyDescent="0.3">
      <c r="A106" s="15" t="s">
        <v>691</v>
      </c>
      <c r="B106" s="15" t="s">
        <v>17</v>
      </c>
      <c r="C106" s="15" t="s">
        <v>18</v>
      </c>
      <c r="D106" s="15" t="s">
        <v>37</v>
      </c>
    </row>
    <row r="107" spans="1:4" x14ac:dyDescent="0.3">
      <c r="A107" s="15" t="s">
        <v>697</v>
      </c>
      <c r="B107" s="15" t="s">
        <v>17</v>
      </c>
      <c r="C107" s="15" t="s">
        <v>18</v>
      </c>
      <c r="D107" s="15" t="s">
        <v>37</v>
      </c>
    </row>
    <row r="108" spans="1:4" x14ac:dyDescent="0.3">
      <c r="A108" s="15" t="s">
        <v>703</v>
      </c>
      <c r="B108" s="15" t="s">
        <v>17</v>
      </c>
      <c r="C108" s="15" t="s">
        <v>18</v>
      </c>
      <c r="D108" s="15" t="s">
        <v>161</v>
      </c>
    </row>
    <row r="109" spans="1:4" x14ac:dyDescent="0.3">
      <c r="A109" s="15" t="s">
        <v>715</v>
      </c>
      <c r="B109" s="15" t="s">
        <v>17</v>
      </c>
      <c r="C109" s="15" t="s">
        <v>18</v>
      </c>
      <c r="D109" s="15" t="s">
        <v>579</v>
      </c>
    </row>
    <row r="110" spans="1:4" x14ac:dyDescent="0.3">
      <c r="A110" s="15" t="s">
        <v>727</v>
      </c>
      <c r="B110" s="15" t="s">
        <v>17</v>
      </c>
      <c r="C110" s="15" t="s">
        <v>18</v>
      </c>
      <c r="D110" s="15" t="s">
        <v>120</v>
      </c>
    </row>
    <row r="111" spans="1:4" x14ac:dyDescent="0.3">
      <c r="A111" s="15" t="s">
        <v>739</v>
      </c>
      <c r="B111" s="15" t="s">
        <v>17</v>
      </c>
      <c r="C111" s="15" t="s">
        <v>18</v>
      </c>
      <c r="D111" s="15" t="s">
        <v>273</v>
      </c>
    </row>
    <row r="112" spans="1:4" x14ac:dyDescent="0.3">
      <c r="A112" s="15" t="s">
        <v>751</v>
      </c>
      <c r="B112" s="15" t="s">
        <v>17</v>
      </c>
      <c r="C112" s="15" t="s">
        <v>18</v>
      </c>
      <c r="D112" s="15" t="s">
        <v>23</v>
      </c>
    </row>
    <row r="113" spans="1:4" x14ac:dyDescent="0.3">
      <c r="A113" s="15" t="s">
        <v>757</v>
      </c>
      <c r="B113" s="15" t="s">
        <v>17</v>
      </c>
      <c r="C113" s="15" t="s">
        <v>18</v>
      </c>
      <c r="D113" s="15" t="s">
        <v>37</v>
      </c>
    </row>
    <row r="114" spans="1:4" x14ac:dyDescent="0.3">
      <c r="A114" s="15" t="s">
        <v>1491</v>
      </c>
      <c r="B114" s="15" t="s">
        <v>1494</v>
      </c>
      <c r="C114" s="15" t="s">
        <v>18</v>
      </c>
      <c r="D114" s="15" t="s">
        <v>161</v>
      </c>
    </row>
    <row r="115" spans="1:4" x14ac:dyDescent="0.3">
      <c r="A115" s="15" t="s">
        <v>1498</v>
      </c>
      <c r="B115" s="15" t="s">
        <v>1494</v>
      </c>
      <c r="C115" s="15" t="s">
        <v>18</v>
      </c>
      <c r="D115" s="15" t="s">
        <v>66</v>
      </c>
    </row>
    <row r="116" spans="1:4" x14ac:dyDescent="0.3">
      <c r="A116" s="15" t="s">
        <v>1507</v>
      </c>
      <c r="B116" s="15" t="s">
        <v>1494</v>
      </c>
      <c r="C116" s="15" t="s">
        <v>18</v>
      </c>
      <c r="D116" s="15" t="s">
        <v>1513</v>
      </c>
    </row>
    <row r="117" spans="1:4" x14ac:dyDescent="0.3">
      <c r="A117" s="15" t="s">
        <v>1514</v>
      </c>
      <c r="B117" s="15" t="s">
        <v>1494</v>
      </c>
      <c r="C117" s="15" t="s">
        <v>18</v>
      </c>
      <c r="D117" s="15" t="s">
        <v>579</v>
      </c>
    </row>
    <row r="118" spans="1:4" x14ac:dyDescent="0.3">
      <c r="A118" s="15" t="s">
        <v>1527</v>
      </c>
      <c r="B118" s="15" t="s">
        <v>1494</v>
      </c>
      <c r="C118" s="15" t="s">
        <v>18</v>
      </c>
      <c r="D118" s="15" t="s">
        <v>37</v>
      </c>
    </row>
    <row r="119" spans="1:4" x14ac:dyDescent="0.3">
      <c r="A119" s="15" t="s">
        <v>1533</v>
      </c>
      <c r="B119" s="15" t="s">
        <v>1494</v>
      </c>
      <c r="C119" s="15" t="s">
        <v>18</v>
      </c>
      <c r="D119" s="15" t="s">
        <v>161</v>
      </c>
    </row>
    <row r="120" spans="1:4" x14ac:dyDescent="0.3">
      <c r="A120" s="15" t="s">
        <v>1539</v>
      </c>
      <c r="B120" s="15" t="s">
        <v>1494</v>
      </c>
      <c r="C120" s="15" t="s">
        <v>18</v>
      </c>
      <c r="D120" s="15" t="s">
        <v>161</v>
      </c>
    </row>
    <row r="121" spans="1:4" x14ac:dyDescent="0.3">
      <c r="A121" s="15" t="s">
        <v>1545</v>
      </c>
      <c r="B121" s="15" t="s">
        <v>1494</v>
      </c>
      <c r="C121" s="15" t="s">
        <v>18</v>
      </c>
      <c r="D121" s="15" t="s">
        <v>120</v>
      </c>
    </row>
    <row r="122" spans="1:4" x14ac:dyDescent="0.3">
      <c r="A122" s="15" t="s">
        <v>1551</v>
      </c>
      <c r="B122" s="15" t="s">
        <v>1494</v>
      </c>
      <c r="C122" s="15" t="s">
        <v>18</v>
      </c>
      <c r="D122" s="15" t="s">
        <v>120</v>
      </c>
    </row>
    <row r="123" spans="1:4" x14ac:dyDescent="0.3">
      <c r="A123" s="15" t="s">
        <v>1561</v>
      </c>
      <c r="B123" s="15" t="s">
        <v>1494</v>
      </c>
      <c r="C123" s="15" t="s">
        <v>18</v>
      </c>
      <c r="D123" s="15" t="s">
        <v>141</v>
      </c>
    </row>
    <row r="124" spans="1:4" x14ac:dyDescent="0.3">
      <c r="A124" s="15" t="s">
        <v>1567</v>
      </c>
      <c r="B124" s="15" t="s">
        <v>1494</v>
      </c>
      <c r="C124" s="15" t="s">
        <v>18</v>
      </c>
      <c r="D124" s="15" t="s">
        <v>616</v>
      </c>
    </row>
    <row r="125" spans="1:4" x14ac:dyDescent="0.3">
      <c r="A125" s="15" t="s">
        <v>1583</v>
      </c>
      <c r="B125" s="15" t="s">
        <v>1494</v>
      </c>
      <c r="C125" s="15" t="s">
        <v>18</v>
      </c>
      <c r="D125" s="15" t="s">
        <v>260</v>
      </c>
    </row>
    <row r="126" spans="1:4" x14ac:dyDescent="0.3">
      <c r="A126" s="15" t="s">
        <v>1589</v>
      </c>
      <c r="B126" s="15" t="s">
        <v>1494</v>
      </c>
      <c r="C126" s="15" t="s">
        <v>18</v>
      </c>
      <c r="D126" s="15" t="s">
        <v>23</v>
      </c>
    </row>
    <row r="127" spans="1:4" x14ac:dyDescent="0.3">
      <c r="A127" s="15" t="s">
        <v>1599</v>
      </c>
      <c r="B127" s="15" t="s">
        <v>1494</v>
      </c>
      <c r="C127" s="15" t="s">
        <v>18</v>
      </c>
      <c r="D127" s="15" t="s">
        <v>23</v>
      </c>
    </row>
    <row r="128" spans="1:4" x14ac:dyDescent="0.3">
      <c r="A128" s="15" t="s">
        <v>1605</v>
      </c>
      <c r="B128" s="15" t="s">
        <v>1494</v>
      </c>
      <c r="C128" s="15" t="s">
        <v>18</v>
      </c>
      <c r="D128" s="15" t="s">
        <v>579</v>
      </c>
    </row>
    <row r="129" spans="1:4" x14ac:dyDescent="0.3">
      <c r="A129" s="15" t="s">
        <v>1611</v>
      </c>
      <c r="B129" s="15" t="s">
        <v>1494</v>
      </c>
      <c r="C129" s="15" t="s">
        <v>18</v>
      </c>
      <c r="D129" s="15" t="s">
        <v>141</v>
      </c>
    </row>
    <row r="130" spans="1:4" x14ac:dyDescent="0.3">
      <c r="A130" s="15" t="s">
        <v>1617</v>
      </c>
      <c r="B130" s="15" t="s">
        <v>1494</v>
      </c>
      <c r="C130" s="15" t="s">
        <v>18</v>
      </c>
      <c r="D130" s="15" t="s">
        <v>23</v>
      </c>
    </row>
    <row r="131" spans="1:4" x14ac:dyDescent="0.3">
      <c r="A131" s="15" t="s">
        <v>1627</v>
      </c>
      <c r="B131" s="15" t="s">
        <v>1494</v>
      </c>
      <c r="C131" s="15" t="s">
        <v>18</v>
      </c>
      <c r="D131" s="15" t="s">
        <v>161</v>
      </c>
    </row>
    <row r="132" spans="1:4" x14ac:dyDescent="0.3">
      <c r="A132" s="15" t="s">
        <v>1633</v>
      </c>
      <c r="B132" s="15" t="s">
        <v>1494</v>
      </c>
      <c r="C132" s="15" t="s">
        <v>18</v>
      </c>
      <c r="D132" s="15" t="s">
        <v>23</v>
      </c>
    </row>
    <row r="133" spans="1:4" x14ac:dyDescent="0.3">
      <c r="A133" s="15" t="s">
        <v>1647</v>
      </c>
      <c r="B133" s="15" t="s">
        <v>1494</v>
      </c>
      <c r="C133" s="15" t="s">
        <v>18</v>
      </c>
      <c r="D133" s="15" t="s">
        <v>1653</v>
      </c>
    </row>
    <row r="134" spans="1:4" x14ac:dyDescent="0.3">
      <c r="A134" s="15" t="s">
        <v>1657</v>
      </c>
      <c r="B134" s="15" t="s">
        <v>1494</v>
      </c>
      <c r="C134" s="15" t="s">
        <v>18</v>
      </c>
      <c r="D134" s="15" t="s">
        <v>37</v>
      </c>
    </row>
    <row r="135" spans="1:4" x14ac:dyDescent="0.3">
      <c r="A135" s="15" t="s">
        <v>1663</v>
      </c>
      <c r="B135" s="15" t="s">
        <v>1494</v>
      </c>
      <c r="C135" s="15" t="s">
        <v>18</v>
      </c>
      <c r="D135" s="15" t="s">
        <v>37</v>
      </c>
    </row>
    <row r="136" spans="1:4" x14ac:dyDescent="0.3">
      <c r="A136" s="15" t="s">
        <v>1669</v>
      </c>
      <c r="B136" s="15" t="s">
        <v>1494</v>
      </c>
      <c r="C136" s="15" t="s">
        <v>18</v>
      </c>
      <c r="D136" s="15" t="s">
        <v>120</v>
      </c>
    </row>
    <row r="137" spans="1:4" x14ac:dyDescent="0.3">
      <c r="A137" s="15" t="s">
        <v>1675</v>
      </c>
      <c r="B137" s="15" t="s">
        <v>1494</v>
      </c>
      <c r="C137" s="15" t="s">
        <v>18</v>
      </c>
      <c r="D137" s="15" t="s">
        <v>37</v>
      </c>
    </row>
    <row r="138" spans="1:4" x14ac:dyDescent="0.3">
      <c r="A138" s="15" t="s">
        <v>1679</v>
      </c>
      <c r="B138" s="15" t="s">
        <v>1494</v>
      </c>
      <c r="C138" s="15" t="s">
        <v>18</v>
      </c>
      <c r="D138" s="15" t="s">
        <v>353</v>
      </c>
    </row>
    <row r="139" spans="1:4" x14ac:dyDescent="0.3">
      <c r="A139" s="15" t="s">
        <v>1689</v>
      </c>
      <c r="B139" s="15" t="s">
        <v>1494</v>
      </c>
      <c r="C139" s="15" t="s">
        <v>18</v>
      </c>
      <c r="D139" s="15" t="s">
        <v>80</v>
      </c>
    </row>
    <row r="140" spans="1:4" x14ac:dyDescent="0.3">
      <c r="A140" s="15" t="s">
        <v>1695</v>
      </c>
      <c r="B140" s="15" t="s">
        <v>1494</v>
      </c>
      <c r="C140" s="15" t="s">
        <v>18</v>
      </c>
      <c r="D140" s="15" t="s">
        <v>353</v>
      </c>
    </row>
    <row r="141" spans="1:4" x14ac:dyDescent="0.3">
      <c r="A141" s="15" t="s">
        <v>1701</v>
      </c>
      <c r="B141" s="15" t="s">
        <v>1494</v>
      </c>
      <c r="C141" s="15" t="s">
        <v>18</v>
      </c>
      <c r="D141" s="15" t="s">
        <v>23</v>
      </c>
    </row>
    <row r="142" spans="1:4" x14ac:dyDescent="0.3">
      <c r="A142" s="15" t="s">
        <v>1705</v>
      </c>
      <c r="B142" s="15" t="s">
        <v>1494</v>
      </c>
      <c r="C142" s="15" t="s">
        <v>18</v>
      </c>
      <c r="D142" s="15" t="s">
        <v>616</v>
      </c>
    </row>
    <row r="143" spans="1:4" x14ac:dyDescent="0.3">
      <c r="A143" s="15" t="s">
        <v>1711</v>
      </c>
      <c r="B143" s="15" t="s">
        <v>1494</v>
      </c>
      <c r="C143" s="15" t="s">
        <v>18</v>
      </c>
      <c r="D143" s="15" t="s">
        <v>37</v>
      </c>
    </row>
    <row r="144" spans="1:4" x14ac:dyDescent="0.3">
      <c r="A144" s="15" t="s">
        <v>1717</v>
      </c>
      <c r="B144" s="15" t="s">
        <v>1494</v>
      </c>
      <c r="C144" s="15" t="s">
        <v>18</v>
      </c>
      <c r="D144" s="15" t="s">
        <v>23</v>
      </c>
    </row>
    <row r="145" spans="1:4" x14ac:dyDescent="0.3">
      <c r="A145" s="15" t="s">
        <v>1721</v>
      </c>
      <c r="B145" s="15" t="s">
        <v>1494</v>
      </c>
      <c r="C145" s="15" t="s">
        <v>18</v>
      </c>
      <c r="D145" s="15" t="s">
        <v>141</v>
      </c>
    </row>
    <row r="146" spans="1:4" x14ac:dyDescent="0.3">
      <c r="A146" s="15" t="s">
        <v>1727</v>
      </c>
      <c r="B146" s="15" t="s">
        <v>1494</v>
      </c>
      <c r="C146" s="15" t="s">
        <v>18</v>
      </c>
      <c r="D146" s="15" t="s">
        <v>23</v>
      </c>
    </row>
    <row r="147" spans="1:4" x14ac:dyDescent="0.3">
      <c r="A147" s="15" t="s">
        <v>1731</v>
      </c>
      <c r="B147" s="15" t="s">
        <v>1494</v>
      </c>
      <c r="C147" s="15" t="s">
        <v>18</v>
      </c>
      <c r="D147" s="15" t="s">
        <v>1737</v>
      </c>
    </row>
    <row r="148" spans="1:4" x14ac:dyDescent="0.3">
      <c r="A148" s="15" t="s">
        <v>1738</v>
      </c>
      <c r="B148" s="15" t="s">
        <v>1494</v>
      </c>
      <c r="C148" s="15" t="s">
        <v>18</v>
      </c>
      <c r="D148" s="15" t="s">
        <v>23</v>
      </c>
    </row>
    <row r="149" spans="1:4" x14ac:dyDescent="0.3">
      <c r="A149" s="15" t="s">
        <v>1744</v>
      </c>
      <c r="B149" s="15" t="s">
        <v>1494</v>
      </c>
      <c r="C149" s="15" t="s">
        <v>18</v>
      </c>
      <c r="D149" s="15" t="s">
        <v>616</v>
      </c>
    </row>
    <row r="150" spans="1:4" x14ac:dyDescent="0.3">
      <c r="A150" s="15" t="s">
        <v>1756</v>
      </c>
      <c r="B150" s="15" t="s">
        <v>1494</v>
      </c>
      <c r="C150" s="15" t="s">
        <v>18</v>
      </c>
      <c r="D150" s="15" t="s">
        <v>127</v>
      </c>
    </row>
    <row r="151" spans="1:4" x14ac:dyDescent="0.3">
      <c r="A151" s="15" t="s">
        <v>1762</v>
      </c>
      <c r="B151" s="15" t="s">
        <v>1494</v>
      </c>
      <c r="C151" s="15" t="s">
        <v>18</v>
      </c>
      <c r="D151" s="15" t="s">
        <v>260</v>
      </c>
    </row>
    <row r="152" spans="1:4" x14ac:dyDescent="0.3">
      <c r="A152" s="15" t="s">
        <v>1773</v>
      </c>
      <c r="B152" s="15" t="s">
        <v>1494</v>
      </c>
      <c r="C152" s="15" t="s">
        <v>18</v>
      </c>
      <c r="D152" s="15" t="s">
        <v>1344</v>
      </c>
    </row>
    <row r="153" spans="1:4" x14ac:dyDescent="0.3">
      <c r="A153" s="15" t="s">
        <v>1777</v>
      </c>
      <c r="B153" s="15" t="s">
        <v>1494</v>
      </c>
      <c r="C153" s="15" t="s">
        <v>18</v>
      </c>
      <c r="D153" s="15" t="s">
        <v>23</v>
      </c>
    </row>
    <row r="154" spans="1:4" x14ac:dyDescent="0.3">
      <c r="A154" s="15" t="s">
        <v>1783</v>
      </c>
      <c r="B154" s="15" t="s">
        <v>1494</v>
      </c>
      <c r="C154" s="15" t="s">
        <v>18</v>
      </c>
      <c r="D154" s="15" t="s">
        <v>127</v>
      </c>
    </row>
    <row r="155" spans="1:4" x14ac:dyDescent="0.3">
      <c r="A155" s="15" t="s">
        <v>1793</v>
      </c>
      <c r="B155" s="15" t="s">
        <v>1494</v>
      </c>
      <c r="C155" s="15" t="s">
        <v>18</v>
      </c>
      <c r="D155" s="15" t="s">
        <v>141</v>
      </c>
    </row>
    <row r="156" spans="1:4" x14ac:dyDescent="0.3">
      <c r="A156" s="15" t="s">
        <v>1799</v>
      </c>
      <c r="B156" s="15" t="s">
        <v>1494</v>
      </c>
      <c r="C156" s="15" t="s">
        <v>18</v>
      </c>
      <c r="D156" s="15" t="s">
        <v>23</v>
      </c>
    </row>
    <row r="157" spans="1:4" x14ac:dyDescent="0.3">
      <c r="A157" s="15" t="s">
        <v>1816</v>
      </c>
      <c r="B157" s="15" t="s">
        <v>1494</v>
      </c>
      <c r="C157" s="15" t="s">
        <v>18</v>
      </c>
      <c r="D157" s="15" t="s">
        <v>23</v>
      </c>
    </row>
    <row r="158" spans="1:4" x14ac:dyDescent="0.3">
      <c r="A158" s="15" t="s">
        <v>1820</v>
      </c>
      <c r="B158" s="15" t="s">
        <v>1494</v>
      </c>
      <c r="C158" s="15" t="s">
        <v>18</v>
      </c>
      <c r="D158" s="15" t="s">
        <v>23</v>
      </c>
    </row>
    <row r="159" spans="1:4" x14ac:dyDescent="0.3">
      <c r="A159" s="15" t="s">
        <v>1826</v>
      </c>
      <c r="B159" s="15" t="s">
        <v>1494</v>
      </c>
      <c r="C159" s="15" t="s">
        <v>18</v>
      </c>
      <c r="D159" s="15" t="s">
        <v>1344</v>
      </c>
    </row>
    <row r="160" spans="1:4" x14ac:dyDescent="0.3">
      <c r="A160" s="15" t="s">
        <v>1832</v>
      </c>
      <c r="B160" s="15" t="s">
        <v>1494</v>
      </c>
      <c r="C160" s="15" t="s">
        <v>18</v>
      </c>
      <c r="D160" s="15" t="s">
        <v>235</v>
      </c>
    </row>
    <row r="161" spans="1:4" x14ac:dyDescent="0.3">
      <c r="A161" s="15" t="s">
        <v>1841</v>
      </c>
      <c r="B161" s="15" t="s">
        <v>1494</v>
      </c>
      <c r="C161" s="15" t="s">
        <v>18</v>
      </c>
      <c r="D161" s="15" t="s">
        <v>353</v>
      </c>
    </row>
    <row r="162" spans="1:4" x14ac:dyDescent="0.3">
      <c r="A162" s="15" t="s">
        <v>1869</v>
      </c>
      <c r="B162" s="15" t="s">
        <v>1494</v>
      </c>
      <c r="C162" s="15" t="s">
        <v>18</v>
      </c>
      <c r="D162" s="15" t="s">
        <v>1344</v>
      </c>
    </row>
    <row r="163" spans="1:4" x14ac:dyDescent="0.3">
      <c r="A163" s="15" t="s">
        <v>1873</v>
      </c>
      <c r="B163" s="15" t="s">
        <v>1494</v>
      </c>
      <c r="C163" s="15" t="s">
        <v>18</v>
      </c>
      <c r="D163" s="15" t="s">
        <v>260</v>
      </c>
    </row>
    <row r="164" spans="1:4" x14ac:dyDescent="0.3">
      <c r="A164" s="15" t="s">
        <v>1879</v>
      </c>
      <c r="B164" s="15" t="s">
        <v>1494</v>
      </c>
      <c r="C164" s="15" t="s">
        <v>18</v>
      </c>
      <c r="D164" s="15" t="s">
        <v>120</v>
      </c>
    </row>
    <row r="165" spans="1:4" x14ac:dyDescent="0.3">
      <c r="A165" s="15" t="s">
        <v>1885</v>
      </c>
      <c r="B165" s="15" t="s">
        <v>1494</v>
      </c>
      <c r="C165" s="15" t="s">
        <v>18</v>
      </c>
      <c r="D165" s="15" t="s">
        <v>23</v>
      </c>
    </row>
    <row r="166" spans="1:4" x14ac:dyDescent="0.3">
      <c r="A166" s="15" t="s">
        <v>1889</v>
      </c>
      <c r="B166" s="15" t="s">
        <v>1494</v>
      </c>
      <c r="C166" s="15" t="s">
        <v>18</v>
      </c>
      <c r="D166" s="15" t="s">
        <v>141</v>
      </c>
    </row>
    <row r="167" spans="1:4" x14ac:dyDescent="0.3">
      <c r="A167" s="15" t="s">
        <v>1893</v>
      </c>
      <c r="B167" s="15" t="s">
        <v>1494</v>
      </c>
      <c r="C167" s="15" t="s">
        <v>18</v>
      </c>
      <c r="D167" s="15" t="s">
        <v>235</v>
      </c>
    </row>
    <row r="168" spans="1:4" x14ac:dyDescent="0.3">
      <c r="A168" s="15" t="s">
        <v>1899</v>
      </c>
      <c r="B168" s="15" t="s">
        <v>1494</v>
      </c>
      <c r="C168" s="15" t="s">
        <v>18</v>
      </c>
      <c r="D168" s="15" t="s">
        <v>161</v>
      </c>
    </row>
    <row r="169" spans="1:4" x14ac:dyDescent="0.3">
      <c r="A169" s="15" t="s">
        <v>1905</v>
      </c>
      <c r="B169" s="15" t="s">
        <v>1494</v>
      </c>
      <c r="C169" s="15" t="s">
        <v>18</v>
      </c>
      <c r="D169" s="15" t="s">
        <v>66</v>
      </c>
    </row>
    <row r="170" spans="1:4" x14ac:dyDescent="0.3">
      <c r="A170" s="15" t="s">
        <v>1911</v>
      </c>
      <c r="B170" s="15" t="s">
        <v>1494</v>
      </c>
      <c r="C170" s="15" t="s">
        <v>18</v>
      </c>
      <c r="D170" s="15" t="s">
        <v>51</v>
      </c>
    </row>
    <row r="171" spans="1:4" x14ac:dyDescent="0.3">
      <c r="A171" s="15" t="s">
        <v>1921</v>
      </c>
      <c r="B171" s="15" t="s">
        <v>1494</v>
      </c>
      <c r="C171" s="15" t="s">
        <v>18</v>
      </c>
      <c r="D171" s="15" t="s">
        <v>260</v>
      </c>
    </row>
    <row r="172" spans="1:4" x14ac:dyDescent="0.3">
      <c r="A172" s="15" t="s">
        <v>1927</v>
      </c>
      <c r="B172" s="15" t="s">
        <v>1494</v>
      </c>
      <c r="C172" s="15" t="s">
        <v>18</v>
      </c>
      <c r="D172" s="15" t="s">
        <v>1255</v>
      </c>
    </row>
    <row r="173" spans="1:4" x14ac:dyDescent="0.3">
      <c r="A173" s="15" t="s">
        <v>1935</v>
      </c>
      <c r="B173" s="15" t="s">
        <v>17</v>
      </c>
      <c r="C173" s="15" t="s">
        <v>1938</v>
      </c>
      <c r="D173" s="15" t="s">
        <v>647</v>
      </c>
    </row>
    <row r="174" spans="1:4" x14ac:dyDescent="0.3">
      <c r="A174" s="15" t="s">
        <v>1948</v>
      </c>
      <c r="B174" s="15" t="s">
        <v>17</v>
      </c>
      <c r="C174" s="15" t="s">
        <v>1938</v>
      </c>
      <c r="D174" s="15" t="s">
        <v>1954</v>
      </c>
    </row>
    <row r="175" spans="1:4" x14ac:dyDescent="0.3">
      <c r="A175" s="15" t="s">
        <v>1955</v>
      </c>
      <c r="B175" s="15" t="s">
        <v>17</v>
      </c>
      <c r="C175" s="15" t="s">
        <v>1938</v>
      </c>
      <c r="D175" s="15" t="s">
        <v>120</v>
      </c>
    </row>
    <row r="176" spans="1:4" x14ac:dyDescent="0.3">
      <c r="A176" s="15" t="s">
        <v>1962</v>
      </c>
      <c r="B176" s="15" t="s">
        <v>17</v>
      </c>
      <c r="C176" s="15" t="s">
        <v>1938</v>
      </c>
      <c r="D176" s="15" t="s">
        <v>37</v>
      </c>
    </row>
    <row r="177" spans="1:4" x14ac:dyDescent="0.3">
      <c r="A177" s="15" t="s">
        <v>1968</v>
      </c>
      <c r="B177" s="15" t="s">
        <v>17</v>
      </c>
      <c r="C177" s="15" t="s">
        <v>1938</v>
      </c>
      <c r="D177" s="15" t="s">
        <v>66</v>
      </c>
    </row>
    <row r="178" spans="1:4" x14ac:dyDescent="0.3">
      <c r="A178" s="15" t="s">
        <v>1974</v>
      </c>
      <c r="B178" s="15" t="s">
        <v>17</v>
      </c>
      <c r="C178" s="15" t="s">
        <v>1938</v>
      </c>
      <c r="D178" s="15" t="s">
        <v>66</v>
      </c>
    </row>
    <row r="179" spans="1:4" x14ac:dyDescent="0.3">
      <c r="A179" s="15" t="s">
        <v>1986</v>
      </c>
      <c r="B179" s="15" t="s">
        <v>17</v>
      </c>
      <c r="C179" s="15" t="s">
        <v>1938</v>
      </c>
      <c r="D179" s="15" t="s">
        <v>1992</v>
      </c>
    </row>
    <row r="180" spans="1:4" x14ac:dyDescent="0.3">
      <c r="A180" s="15" t="s">
        <v>1997</v>
      </c>
      <c r="B180" s="15" t="s">
        <v>17</v>
      </c>
      <c r="C180" s="15" t="s">
        <v>1938</v>
      </c>
      <c r="D180" s="15" t="s">
        <v>37</v>
      </c>
    </row>
    <row r="181" spans="1:4" x14ac:dyDescent="0.3">
      <c r="A181" s="15" t="s">
        <v>2005</v>
      </c>
      <c r="B181" s="15" t="s">
        <v>17</v>
      </c>
      <c r="C181" s="15" t="s">
        <v>1938</v>
      </c>
      <c r="D181" s="15" t="s">
        <v>37</v>
      </c>
    </row>
    <row r="182" spans="1:4" x14ac:dyDescent="0.3">
      <c r="A182" s="15" t="s">
        <v>2090</v>
      </c>
      <c r="B182" s="15" t="s">
        <v>1494</v>
      </c>
      <c r="C182" s="15" t="s">
        <v>1938</v>
      </c>
      <c r="D182" s="15" t="s">
        <v>127</v>
      </c>
    </row>
    <row r="183" spans="1:4" x14ac:dyDescent="0.3">
      <c r="A183" s="15" t="s">
        <v>2096</v>
      </c>
      <c r="B183" s="15" t="s">
        <v>1494</v>
      </c>
      <c r="C183" s="15" t="s">
        <v>1938</v>
      </c>
      <c r="D183" s="15" t="s">
        <v>2102</v>
      </c>
    </row>
    <row r="184" spans="1:4" x14ac:dyDescent="0.3">
      <c r="A184" s="15" t="s">
        <v>2104</v>
      </c>
      <c r="B184" s="15" t="s">
        <v>1494</v>
      </c>
      <c r="C184" s="15" t="s">
        <v>1938</v>
      </c>
      <c r="D184" s="15" t="s">
        <v>210</v>
      </c>
    </row>
    <row r="185" spans="1:4" x14ac:dyDescent="0.3">
      <c r="A185" s="15" t="s">
        <v>2110</v>
      </c>
      <c r="B185" s="15" t="s">
        <v>1494</v>
      </c>
      <c r="C185" s="15" t="s">
        <v>1938</v>
      </c>
      <c r="D185" s="15" t="s">
        <v>37</v>
      </c>
    </row>
    <row r="186" spans="1:4" x14ac:dyDescent="0.3">
      <c r="A186" s="15" t="s">
        <v>2117</v>
      </c>
      <c r="B186" s="15" t="s">
        <v>1494</v>
      </c>
      <c r="C186" s="15" t="s">
        <v>1938</v>
      </c>
      <c r="D186" s="15" t="s">
        <v>134</v>
      </c>
    </row>
    <row r="187" spans="1:4" x14ac:dyDescent="0.3">
      <c r="A187" s="15" t="s">
        <v>2123</v>
      </c>
      <c r="B187" s="15" t="s">
        <v>1494</v>
      </c>
      <c r="C187" s="15" t="s">
        <v>1938</v>
      </c>
      <c r="D187" s="15" t="s">
        <v>66</v>
      </c>
    </row>
    <row r="188" spans="1:4" x14ac:dyDescent="0.3">
      <c r="A188" s="15" t="s">
        <v>2130</v>
      </c>
      <c r="B188" s="15" t="s">
        <v>1494</v>
      </c>
      <c r="C188" s="15" t="s">
        <v>1938</v>
      </c>
      <c r="D188" s="15" t="s">
        <v>127</v>
      </c>
    </row>
    <row r="189" spans="1:4" x14ac:dyDescent="0.3">
      <c r="A189" s="15" t="s">
        <v>2136</v>
      </c>
      <c r="B189" s="15" t="s">
        <v>1494</v>
      </c>
      <c r="C189" s="15" t="s">
        <v>1938</v>
      </c>
      <c r="D189" s="15" t="s">
        <v>37</v>
      </c>
    </row>
    <row r="190" spans="1:4" x14ac:dyDescent="0.3">
      <c r="A190" s="15" t="s">
        <v>2146</v>
      </c>
      <c r="B190" s="15" t="s">
        <v>1494</v>
      </c>
      <c r="C190" s="15" t="s">
        <v>1938</v>
      </c>
      <c r="D190" s="15" t="s">
        <v>127</v>
      </c>
    </row>
    <row r="191" spans="1:4" x14ac:dyDescent="0.3">
      <c r="A191" s="15" t="s">
        <v>2162</v>
      </c>
      <c r="B191" s="15" t="s">
        <v>1494</v>
      </c>
      <c r="C191" s="15" t="s">
        <v>1938</v>
      </c>
      <c r="D191" s="15" t="s">
        <v>286</v>
      </c>
    </row>
    <row r="192" spans="1:4" x14ac:dyDescent="0.3">
      <c r="A192" s="15" t="s">
        <v>2169</v>
      </c>
      <c r="B192" s="15" t="s">
        <v>1494</v>
      </c>
      <c r="C192" s="15" t="s">
        <v>1938</v>
      </c>
      <c r="D192" s="15" t="s">
        <v>127</v>
      </c>
    </row>
  </sheetData>
  <mergeCells count="6">
    <mergeCell ref="A15:B15"/>
    <mergeCell ref="A3:H3"/>
    <mergeCell ref="A2:H2"/>
    <mergeCell ref="A1:H1"/>
    <mergeCell ref="E5:K5"/>
    <mergeCell ref="A5:C5"/>
  </mergeCells>
  <pageMargins left="0.7" right="0.7" top="0.75" bottom="0.75" header="0.3" footer="0.3"/>
  <pageSetup paperSize="9"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2"/>
  <sheetViews>
    <sheetView tabSelected="1" workbookViewId="0">
      <selection activeCell="K2" sqref="K2"/>
    </sheetView>
  </sheetViews>
  <sheetFormatPr defaultRowHeight="14.4" x14ac:dyDescent="0.3"/>
  <cols>
    <col min="1" max="1" width="7.109375" customWidth="1"/>
    <col min="2" max="2" width="29.33203125" customWidth="1"/>
    <col min="3" max="3" width="27.88671875" customWidth="1"/>
    <col min="4" max="4" width="42.109375" customWidth="1"/>
    <col min="5" max="5" width="43.5546875" customWidth="1"/>
    <col min="6" max="6" width="40.6640625" customWidth="1"/>
    <col min="7" max="7" width="39.33203125" customWidth="1"/>
    <col min="8" max="8" width="25" customWidth="1"/>
    <col min="9" max="9" width="36.44140625" customWidth="1"/>
    <col min="10" max="10" width="33.5546875" customWidth="1"/>
    <col min="11" max="11" width="27.88671875" customWidth="1"/>
  </cols>
  <sheetData>
    <row r="1" spans="1:11" ht="28.8" customHeight="1" x14ac:dyDescent="0.3">
      <c r="A1" s="23" t="s">
        <v>2742</v>
      </c>
      <c r="B1" s="23" t="s">
        <v>2743</v>
      </c>
      <c r="C1" s="23" t="s">
        <v>2744</v>
      </c>
      <c r="D1" s="23" t="s">
        <v>2947</v>
      </c>
      <c r="E1" s="23" t="s">
        <v>2948</v>
      </c>
      <c r="F1" s="24" t="s">
        <v>2949</v>
      </c>
      <c r="G1" s="24" t="s">
        <v>2747</v>
      </c>
      <c r="H1" s="24" t="s">
        <v>2950</v>
      </c>
      <c r="I1" s="24" t="s">
        <v>2951</v>
      </c>
      <c r="J1" s="24" t="s">
        <v>2952</v>
      </c>
      <c r="K1" s="24" t="s">
        <v>2953</v>
      </c>
    </row>
    <row r="2" spans="1:11" ht="38.4" customHeight="1" x14ac:dyDescent="0.3">
      <c r="A2" s="25" t="s">
        <v>210</v>
      </c>
      <c r="B2" s="25" t="s">
        <v>2765</v>
      </c>
      <c r="C2" s="25" t="s">
        <v>2818</v>
      </c>
      <c r="D2" s="25" t="s">
        <v>2822</v>
      </c>
      <c r="E2" s="25" t="s">
        <v>2954</v>
      </c>
      <c r="F2" s="26" t="s">
        <v>2955</v>
      </c>
      <c r="G2" s="26" t="s">
        <v>2956</v>
      </c>
      <c r="H2" s="26" t="s">
        <v>2957</v>
      </c>
      <c r="I2" s="26" t="s">
        <v>2958</v>
      </c>
      <c r="J2" s="26" t="s">
        <v>2959</v>
      </c>
      <c r="K2" s="26" t="s">
        <v>2960</v>
      </c>
    </row>
    <row r="3" spans="1:11" ht="38.4" customHeight="1" x14ac:dyDescent="0.3">
      <c r="A3" s="25" t="s">
        <v>210</v>
      </c>
      <c r="B3" s="25" t="s">
        <v>2765</v>
      </c>
      <c r="C3" s="25" t="s">
        <v>2780</v>
      </c>
      <c r="D3" s="25" t="s">
        <v>2781</v>
      </c>
      <c r="E3" s="25" t="s">
        <v>2961</v>
      </c>
      <c r="F3" s="26" t="s">
        <v>2955</v>
      </c>
      <c r="G3" s="26" t="s">
        <v>2956</v>
      </c>
      <c r="H3" s="26" t="s">
        <v>2957</v>
      </c>
      <c r="I3" s="26" t="s">
        <v>2958</v>
      </c>
      <c r="J3" s="26" t="s">
        <v>2959</v>
      </c>
      <c r="K3" s="26" t="s">
        <v>2962</v>
      </c>
    </row>
    <row r="4" spans="1:11" ht="38.4" customHeight="1" x14ac:dyDescent="0.3">
      <c r="A4" s="25" t="s">
        <v>210</v>
      </c>
      <c r="B4" s="25" t="s">
        <v>2765</v>
      </c>
      <c r="C4" s="25" t="s">
        <v>2766</v>
      </c>
      <c r="D4" s="25" t="s">
        <v>2767</v>
      </c>
      <c r="E4" s="25" t="s">
        <v>2963</v>
      </c>
      <c r="F4" s="26" t="s">
        <v>2955</v>
      </c>
      <c r="G4" s="26" t="s">
        <v>2956</v>
      </c>
      <c r="H4" s="26" t="s">
        <v>2957</v>
      </c>
      <c r="I4" s="26" t="s">
        <v>2958</v>
      </c>
      <c r="J4" s="26" t="s">
        <v>2959</v>
      </c>
      <c r="K4" s="26" t="s">
        <v>2964</v>
      </c>
    </row>
    <row r="5" spans="1:11" ht="38.4" customHeight="1" x14ac:dyDescent="0.3">
      <c r="A5" s="25" t="s">
        <v>210</v>
      </c>
      <c r="B5" s="25" t="s">
        <v>2765</v>
      </c>
      <c r="C5" s="25" t="s">
        <v>2782</v>
      </c>
      <c r="D5" s="25" t="s">
        <v>2783</v>
      </c>
      <c r="E5" s="25" t="s">
        <v>2965</v>
      </c>
      <c r="F5" s="26" t="s">
        <v>2955</v>
      </c>
      <c r="G5" s="26" t="s">
        <v>2956</v>
      </c>
      <c r="H5" s="26" t="s">
        <v>2957</v>
      </c>
      <c r="I5" s="26" t="s">
        <v>2958</v>
      </c>
      <c r="J5" s="26" t="s">
        <v>2959</v>
      </c>
      <c r="K5" s="26" t="s">
        <v>2966</v>
      </c>
    </row>
    <row r="6" spans="1:11" ht="38.4" customHeight="1" x14ac:dyDescent="0.3">
      <c r="A6" s="25" t="s">
        <v>210</v>
      </c>
      <c r="B6" s="25" t="s">
        <v>2765</v>
      </c>
      <c r="C6" s="25" t="s">
        <v>2799</v>
      </c>
      <c r="D6" s="25" t="s">
        <v>2800</v>
      </c>
      <c r="E6" s="25" t="s">
        <v>2967</v>
      </c>
      <c r="F6" s="26" t="s">
        <v>2955</v>
      </c>
      <c r="G6" s="26" t="s">
        <v>2956</v>
      </c>
      <c r="H6" s="26" t="s">
        <v>2957</v>
      </c>
      <c r="I6" s="26" t="s">
        <v>2958</v>
      </c>
      <c r="J6" s="26" t="s">
        <v>2959</v>
      </c>
      <c r="K6" s="26" t="s">
        <v>2968</v>
      </c>
    </row>
    <row r="7" spans="1:11" ht="38.4" customHeight="1" x14ac:dyDescent="0.3">
      <c r="A7" s="25" t="s">
        <v>260</v>
      </c>
      <c r="B7" s="25" t="s">
        <v>2768</v>
      </c>
      <c r="C7" s="25" t="s">
        <v>2769</v>
      </c>
      <c r="D7" s="25" t="s">
        <v>2815</v>
      </c>
      <c r="E7" s="25" t="s">
        <v>2969</v>
      </c>
      <c r="F7" s="26" t="s">
        <v>2955</v>
      </c>
      <c r="G7" s="26" t="s">
        <v>2956</v>
      </c>
      <c r="H7" s="26" t="s">
        <v>2970</v>
      </c>
      <c r="I7" s="26" t="s">
        <v>2958</v>
      </c>
      <c r="J7" s="26" t="s">
        <v>2959</v>
      </c>
      <c r="K7" s="26" t="s">
        <v>2971</v>
      </c>
    </row>
    <row r="8" spans="1:11" ht="38.4" customHeight="1" x14ac:dyDescent="0.3">
      <c r="A8" s="25" t="s">
        <v>260</v>
      </c>
      <c r="B8" s="25" t="s">
        <v>2768</v>
      </c>
      <c r="C8" s="25" t="s">
        <v>2788</v>
      </c>
      <c r="D8" s="25" t="s">
        <v>2789</v>
      </c>
      <c r="E8" s="25" t="s">
        <v>2972</v>
      </c>
      <c r="F8" s="26" t="s">
        <v>2955</v>
      </c>
      <c r="G8" s="26" t="s">
        <v>2956</v>
      </c>
      <c r="H8" s="26" t="s">
        <v>2970</v>
      </c>
      <c r="I8" s="26" t="s">
        <v>2958</v>
      </c>
      <c r="J8" s="26" t="s">
        <v>2959</v>
      </c>
      <c r="K8" s="26" t="s">
        <v>2973</v>
      </c>
    </row>
    <row r="9" spans="1:11" ht="38.4" customHeight="1" x14ac:dyDescent="0.3">
      <c r="A9" s="25" t="s">
        <v>260</v>
      </c>
      <c r="B9" s="25" t="s">
        <v>2768</v>
      </c>
      <c r="C9" s="25" t="s">
        <v>2790</v>
      </c>
      <c r="D9" s="25" t="s">
        <v>2791</v>
      </c>
      <c r="E9" s="25" t="s">
        <v>2974</v>
      </c>
      <c r="F9" s="26" t="s">
        <v>2955</v>
      </c>
      <c r="G9" s="26" t="s">
        <v>2956</v>
      </c>
      <c r="H9" s="26" t="s">
        <v>2970</v>
      </c>
      <c r="I9" s="26" t="s">
        <v>2958</v>
      </c>
      <c r="J9" s="26" t="s">
        <v>2959</v>
      </c>
      <c r="K9" s="26" t="s">
        <v>2975</v>
      </c>
    </row>
    <row r="10" spans="1:11" ht="38.4" customHeight="1" x14ac:dyDescent="0.3">
      <c r="A10" s="25" t="s">
        <v>260</v>
      </c>
      <c r="B10" s="25" t="s">
        <v>2768</v>
      </c>
      <c r="C10" s="25" t="s">
        <v>2771</v>
      </c>
      <c r="D10" s="25" t="s">
        <v>2772</v>
      </c>
      <c r="E10" s="25" t="s">
        <v>2976</v>
      </c>
      <c r="F10" s="26" t="s">
        <v>2955</v>
      </c>
      <c r="G10" s="26" t="s">
        <v>2956</v>
      </c>
      <c r="H10" s="26" t="s">
        <v>2970</v>
      </c>
      <c r="I10" s="26" t="s">
        <v>2958</v>
      </c>
      <c r="J10" s="26" t="s">
        <v>2959</v>
      </c>
      <c r="K10" s="26" t="s">
        <v>2977</v>
      </c>
    </row>
    <row r="11" spans="1:11" ht="38.4" customHeight="1" x14ac:dyDescent="0.3">
      <c r="A11" s="25" t="s">
        <v>260</v>
      </c>
      <c r="B11" s="25" t="s">
        <v>2768</v>
      </c>
      <c r="C11" s="25" t="s">
        <v>2801</v>
      </c>
      <c r="D11" s="25" t="s">
        <v>2802</v>
      </c>
      <c r="E11" s="25" t="s">
        <v>2978</v>
      </c>
      <c r="F11" s="26" t="s">
        <v>2955</v>
      </c>
      <c r="G11" s="26" t="s">
        <v>2956</v>
      </c>
      <c r="H11" s="26" t="s">
        <v>2970</v>
      </c>
      <c r="I11" s="26" t="s">
        <v>2958</v>
      </c>
      <c r="J11" s="26" t="s">
        <v>2959</v>
      </c>
      <c r="K11" s="26" t="s">
        <v>2979</v>
      </c>
    </row>
    <row r="12" spans="1:11" ht="38.4" customHeight="1" x14ac:dyDescent="0.3">
      <c r="A12" s="25" t="s">
        <v>51</v>
      </c>
      <c r="B12" s="25" t="s">
        <v>2809</v>
      </c>
      <c r="C12" s="25" t="s">
        <v>2810</v>
      </c>
      <c r="D12" s="25" t="s">
        <v>2867</v>
      </c>
      <c r="E12" s="25" t="s">
        <v>2980</v>
      </c>
      <c r="F12" s="26" t="s">
        <v>2955</v>
      </c>
      <c r="G12" s="26" t="s">
        <v>2956</v>
      </c>
      <c r="H12" s="26" t="s">
        <v>2981</v>
      </c>
      <c r="I12" s="26" t="s">
        <v>2958</v>
      </c>
      <c r="J12" s="26" t="s">
        <v>2959</v>
      </c>
      <c r="K12" s="26" t="s">
        <v>2982</v>
      </c>
    </row>
    <row r="13" spans="1:11" ht="38.4" customHeight="1" x14ac:dyDescent="0.3">
      <c r="A13" s="25" t="s">
        <v>51</v>
      </c>
      <c r="B13" s="25" t="s">
        <v>2809</v>
      </c>
      <c r="C13" s="25" t="s">
        <v>2879</v>
      </c>
      <c r="D13" s="25" t="s">
        <v>2880</v>
      </c>
      <c r="E13" s="25" t="s">
        <v>2983</v>
      </c>
      <c r="F13" s="26" t="s">
        <v>2955</v>
      </c>
      <c r="G13" s="26" t="s">
        <v>2956</v>
      </c>
      <c r="H13" s="26" t="s">
        <v>2981</v>
      </c>
      <c r="I13" s="26" t="s">
        <v>2958</v>
      </c>
      <c r="J13" s="26" t="s">
        <v>2959</v>
      </c>
      <c r="K13" s="26" t="s">
        <v>2984</v>
      </c>
    </row>
    <row r="14" spans="1:11" ht="38.4" customHeight="1" x14ac:dyDescent="0.3">
      <c r="A14" s="25" t="s">
        <v>51</v>
      </c>
      <c r="B14" s="25" t="s">
        <v>2809</v>
      </c>
      <c r="C14" s="25" t="s">
        <v>2892</v>
      </c>
      <c r="D14" s="25" t="s">
        <v>2893</v>
      </c>
      <c r="E14" s="25" t="s">
        <v>2985</v>
      </c>
      <c r="F14" s="26" t="s">
        <v>2955</v>
      </c>
      <c r="G14" s="26" t="s">
        <v>2956</v>
      </c>
      <c r="H14" s="26" t="s">
        <v>2981</v>
      </c>
      <c r="I14" s="26" t="s">
        <v>2958</v>
      </c>
      <c r="J14" s="26" t="s">
        <v>2959</v>
      </c>
      <c r="K14" s="26" t="s">
        <v>2986</v>
      </c>
    </row>
    <row r="15" spans="1:11" ht="38.4" customHeight="1" x14ac:dyDescent="0.3">
      <c r="A15" s="25" t="s">
        <v>51</v>
      </c>
      <c r="B15" s="25" t="s">
        <v>2809</v>
      </c>
      <c r="C15" s="25" t="s">
        <v>2844</v>
      </c>
      <c r="D15" s="25" t="s">
        <v>2845</v>
      </c>
      <c r="E15" s="25" t="s">
        <v>2987</v>
      </c>
      <c r="F15" s="26" t="s">
        <v>2955</v>
      </c>
      <c r="G15" s="26" t="s">
        <v>2956</v>
      </c>
      <c r="H15" s="26" t="s">
        <v>2981</v>
      </c>
      <c r="I15" s="26" t="s">
        <v>2958</v>
      </c>
      <c r="J15" s="26" t="s">
        <v>2959</v>
      </c>
      <c r="K15" s="26" t="s">
        <v>2988</v>
      </c>
    </row>
    <row r="16" spans="1:11" ht="38.4" customHeight="1" x14ac:dyDescent="0.3">
      <c r="A16" s="25" t="s">
        <v>66</v>
      </c>
      <c r="B16" s="25" t="s">
        <v>2751</v>
      </c>
      <c r="C16" s="25" t="s">
        <v>2775</v>
      </c>
      <c r="D16" s="25" t="s">
        <v>2776</v>
      </c>
      <c r="E16" s="25" t="s">
        <v>2989</v>
      </c>
      <c r="F16" s="26" t="s">
        <v>2955</v>
      </c>
      <c r="G16" s="26" t="s">
        <v>2956</v>
      </c>
      <c r="H16" s="26" t="s">
        <v>2990</v>
      </c>
      <c r="I16" s="26" t="s">
        <v>2958</v>
      </c>
      <c r="J16" s="26" t="s">
        <v>2959</v>
      </c>
      <c r="K16" s="26" t="s">
        <v>2991</v>
      </c>
    </row>
    <row r="17" spans="1:11" ht="38.4" customHeight="1" x14ac:dyDescent="0.3">
      <c r="A17" s="25" t="s">
        <v>66</v>
      </c>
      <c r="B17" s="25" t="s">
        <v>2751</v>
      </c>
      <c r="C17" s="25" t="s">
        <v>2773</v>
      </c>
      <c r="D17" s="25" t="s">
        <v>2774</v>
      </c>
      <c r="E17" s="25" t="s">
        <v>2992</v>
      </c>
      <c r="F17" s="26" t="s">
        <v>2955</v>
      </c>
      <c r="G17" s="26" t="s">
        <v>2956</v>
      </c>
      <c r="H17" s="26" t="s">
        <v>2990</v>
      </c>
      <c r="I17" s="26" t="s">
        <v>2958</v>
      </c>
      <c r="J17" s="26" t="s">
        <v>2959</v>
      </c>
      <c r="K17" s="26" t="s">
        <v>2991</v>
      </c>
    </row>
    <row r="18" spans="1:11" ht="38.4" customHeight="1" x14ac:dyDescent="0.3">
      <c r="A18" s="25" t="s">
        <v>66</v>
      </c>
      <c r="B18" s="25" t="s">
        <v>2751</v>
      </c>
      <c r="C18" s="25" t="s">
        <v>2777</v>
      </c>
      <c r="D18" s="25" t="s">
        <v>2778</v>
      </c>
      <c r="E18" s="25" t="s">
        <v>2993</v>
      </c>
      <c r="F18" s="26" t="s">
        <v>2955</v>
      </c>
      <c r="G18" s="26" t="s">
        <v>2956</v>
      </c>
      <c r="H18" s="26" t="s">
        <v>2990</v>
      </c>
      <c r="I18" s="26" t="s">
        <v>2958</v>
      </c>
      <c r="J18" s="26" t="s">
        <v>2959</v>
      </c>
      <c r="K18" s="26" t="s">
        <v>2994</v>
      </c>
    </row>
    <row r="19" spans="1:11" ht="38.4" customHeight="1" x14ac:dyDescent="0.3">
      <c r="A19" s="25" t="s">
        <v>66</v>
      </c>
      <c r="B19" s="25" t="s">
        <v>2751</v>
      </c>
      <c r="C19" s="25" t="s">
        <v>2752</v>
      </c>
      <c r="D19" s="25" t="s">
        <v>2753</v>
      </c>
      <c r="E19" s="25" t="s">
        <v>2995</v>
      </c>
      <c r="F19" s="26" t="s">
        <v>2955</v>
      </c>
      <c r="G19" s="26" t="s">
        <v>2956</v>
      </c>
      <c r="H19" s="26" t="s">
        <v>2990</v>
      </c>
      <c r="I19" s="26" t="s">
        <v>2958</v>
      </c>
      <c r="J19" s="26" t="s">
        <v>2959</v>
      </c>
      <c r="K19" s="26" t="s">
        <v>2996</v>
      </c>
    </row>
    <row r="20" spans="1:11" ht="38.4" customHeight="1" x14ac:dyDescent="0.3">
      <c r="A20" s="25" t="s">
        <v>66</v>
      </c>
      <c r="B20" s="25" t="s">
        <v>2751</v>
      </c>
      <c r="C20" s="25" t="s">
        <v>2794</v>
      </c>
      <c r="D20" s="25" t="s">
        <v>2795</v>
      </c>
      <c r="E20" s="25" t="s">
        <v>2997</v>
      </c>
      <c r="F20" s="26" t="s">
        <v>2955</v>
      </c>
      <c r="G20" s="26" t="s">
        <v>2956</v>
      </c>
      <c r="H20" s="26" t="s">
        <v>2990</v>
      </c>
      <c r="I20" s="26" t="s">
        <v>2958</v>
      </c>
      <c r="J20" s="26" t="s">
        <v>2959</v>
      </c>
      <c r="K20" s="26" t="s">
        <v>2998</v>
      </c>
    </row>
    <row r="21" spans="1:11" ht="38.4" customHeight="1" x14ac:dyDescent="0.3">
      <c r="A21" s="25" t="s">
        <v>66</v>
      </c>
      <c r="B21" s="25" t="s">
        <v>2751</v>
      </c>
      <c r="C21" s="25" t="s">
        <v>2784</v>
      </c>
      <c r="D21" s="25" t="s">
        <v>2785</v>
      </c>
      <c r="E21" s="25" t="s">
        <v>2999</v>
      </c>
      <c r="F21" s="26" t="s">
        <v>2955</v>
      </c>
      <c r="G21" s="26" t="s">
        <v>2956</v>
      </c>
      <c r="H21" s="26" t="s">
        <v>2990</v>
      </c>
      <c r="I21" s="26" t="s">
        <v>2958</v>
      </c>
      <c r="J21" s="26" t="s">
        <v>2959</v>
      </c>
      <c r="K21" s="26" t="s">
        <v>3000</v>
      </c>
    </row>
    <row r="22" spans="1:11" ht="38.4" customHeight="1" x14ac:dyDescent="0.3">
      <c r="A22" s="25" t="s">
        <v>127</v>
      </c>
      <c r="B22" s="25" t="s">
        <v>2757</v>
      </c>
      <c r="C22" s="25" t="s">
        <v>2758</v>
      </c>
      <c r="D22" s="25" t="s">
        <v>2759</v>
      </c>
      <c r="E22" s="25" t="s">
        <v>3001</v>
      </c>
      <c r="F22" s="26" t="s">
        <v>2955</v>
      </c>
      <c r="G22" s="26" t="s">
        <v>2956</v>
      </c>
      <c r="H22" s="26" t="s">
        <v>3002</v>
      </c>
      <c r="I22" s="26" t="s">
        <v>2958</v>
      </c>
      <c r="J22" s="26" t="s">
        <v>2959</v>
      </c>
      <c r="K22" s="26" t="s">
        <v>3003</v>
      </c>
    </row>
    <row r="23" spans="1:11" ht="38.4" customHeight="1" x14ac:dyDescent="0.3">
      <c r="A23" s="25" t="s">
        <v>127</v>
      </c>
      <c r="B23" s="25" t="s">
        <v>2757</v>
      </c>
      <c r="C23" s="25" t="s">
        <v>2760</v>
      </c>
      <c r="D23" s="25" t="s">
        <v>2761</v>
      </c>
      <c r="E23" s="25" t="s">
        <v>3004</v>
      </c>
      <c r="F23" s="26" t="s">
        <v>2955</v>
      </c>
      <c r="G23" s="26" t="s">
        <v>2956</v>
      </c>
      <c r="H23" s="26" t="s">
        <v>3002</v>
      </c>
      <c r="I23" s="26" t="s">
        <v>2958</v>
      </c>
      <c r="J23" s="26" t="s">
        <v>2959</v>
      </c>
      <c r="K23" s="26" t="s">
        <v>3005</v>
      </c>
    </row>
    <row r="24" spans="1:11" ht="38.4" customHeight="1" x14ac:dyDescent="0.3">
      <c r="A24" s="25" t="s">
        <v>127</v>
      </c>
      <c r="B24" s="25" t="s">
        <v>2757</v>
      </c>
      <c r="C24" s="25" t="s">
        <v>2792</v>
      </c>
      <c r="D24" s="25" t="s">
        <v>2793</v>
      </c>
      <c r="E24" s="25" t="s">
        <v>3006</v>
      </c>
      <c r="F24" s="26" t="s">
        <v>2955</v>
      </c>
      <c r="G24" s="26" t="s">
        <v>2956</v>
      </c>
      <c r="H24" s="26" t="s">
        <v>3002</v>
      </c>
      <c r="I24" s="26" t="s">
        <v>2958</v>
      </c>
      <c r="J24" s="26" t="s">
        <v>2959</v>
      </c>
      <c r="K24" s="26" t="s">
        <v>3007</v>
      </c>
    </row>
    <row r="25" spans="1:11" ht="38.4" customHeight="1" x14ac:dyDescent="0.3">
      <c r="A25" s="25" t="s">
        <v>127</v>
      </c>
      <c r="B25" s="25" t="s">
        <v>2757</v>
      </c>
      <c r="C25" s="25" t="s">
        <v>2796</v>
      </c>
      <c r="D25" s="25" t="s">
        <v>2797</v>
      </c>
      <c r="E25" s="25" t="s">
        <v>3008</v>
      </c>
      <c r="F25" s="26" t="s">
        <v>2955</v>
      </c>
      <c r="G25" s="26" t="s">
        <v>2956</v>
      </c>
      <c r="H25" s="26" t="s">
        <v>3002</v>
      </c>
      <c r="I25" s="26" t="s">
        <v>2958</v>
      </c>
      <c r="J25" s="26" t="s">
        <v>2959</v>
      </c>
      <c r="K25" s="26" t="s">
        <v>3009</v>
      </c>
    </row>
    <row r="26" spans="1:11" ht="38.4" customHeight="1" x14ac:dyDescent="0.3">
      <c r="A26" s="25" t="s">
        <v>127</v>
      </c>
      <c r="B26" s="25" t="s">
        <v>2757</v>
      </c>
      <c r="C26" s="25" t="s">
        <v>2812</v>
      </c>
      <c r="D26" s="25" t="s">
        <v>2813</v>
      </c>
      <c r="E26" s="25" t="s">
        <v>3010</v>
      </c>
      <c r="F26" s="26" t="s">
        <v>2955</v>
      </c>
      <c r="G26" s="26" t="s">
        <v>2956</v>
      </c>
      <c r="H26" s="26" t="s">
        <v>3002</v>
      </c>
      <c r="I26" s="26" t="s">
        <v>2958</v>
      </c>
      <c r="J26" s="26" t="s">
        <v>2959</v>
      </c>
      <c r="K26" s="26" t="s">
        <v>3011</v>
      </c>
    </row>
    <row r="27" spans="1:11" ht="38.4" customHeight="1" x14ac:dyDescent="0.3">
      <c r="A27" s="25" t="s">
        <v>127</v>
      </c>
      <c r="B27" s="25" t="s">
        <v>2757</v>
      </c>
      <c r="C27" s="25" t="s">
        <v>2786</v>
      </c>
      <c r="D27" s="25" t="s">
        <v>2787</v>
      </c>
      <c r="E27" s="25" t="s">
        <v>3012</v>
      </c>
      <c r="F27" s="26" t="s">
        <v>2955</v>
      </c>
      <c r="G27" s="26" t="s">
        <v>2956</v>
      </c>
      <c r="H27" s="26" t="s">
        <v>3002</v>
      </c>
      <c r="I27" s="26" t="s">
        <v>2958</v>
      </c>
      <c r="J27" s="26" t="s">
        <v>2959</v>
      </c>
      <c r="K27" s="26" t="s">
        <v>3013</v>
      </c>
    </row>
    <row r="28" spans="1:11" ht="38.4" customHeight="1" x14ac:dyDescent="0.3">
      <c r="A28" s="25" t="s">
        <v>127</v>
      </c>
      <c r="B28" s="25" t="s">
        <v>2757</v>
      </c>
      <c r="C28" s="25" t="s">
        <v>2838</v>
      </c>
      <c r="D28" s="25" t="s">
        <v>2839</v>
      </c>
      <c r="E28" s="25" t="s">
        <v>3014</v>
      </c>
      <c r="F28" s="26" t="s">
        <v>2955</v>
      </c>
      <c r="G28" s="26" t="s">
        <v>2956</v>
      </c>
      <c r="H28" s="26" t="s">
        <v>3002</v>
      </c>
      <c r="I28" s="26" t="s">
        <v>2958</v>
      </c>
      <c r="J28" s="26" t="s">
        <v>2959</v>
      </c>
      <c r="K28" s="26" t="s">
        <v>3015</v>
      </c>
    </row>
    <row r="29" spans="1:11" ht="38.4" customHeight="1" x14ac:dyDescent="0.3">
      <c r="A29" s="25" t="s">
        <v>885</v>
      </c>
      <c r="B29" s="25" t="s">
        <v>2762</v>
      </c>
      <c r="C29" s="25" t="s">
        <v>2763</v>
      </c>
      <c r="D29" s="25" t="s">
        <v>2764</v>
      </c>
      <c r="E29" s="25" t="s">
        <v>2764</v>
      </c>
      <c r="F29" s="26" t="s">
        <v>2955</v>
      </c>
      <c r="G29" s="26" t="s">
        <v>2956</v>
      </c>
      <c r="H29" s="26" t="s">
        <v>3016</v>
      </c>
      <c r="I29" s="26" t="s">
        <v>2958</v>
      </c>
      <c r="J29" s="26" t="s">
        <v>2959</v>
      </c>
      <c r="K29" s="26" t="s">
        <v>3017</v>
      </c>
    </row>
    <row r="30" spans="1:11" ht="38.4" customHeight="1" x14ac:dyDescent="0.3">
      <c r="A30" s="25" t="s">
        <v>885</v>
      </c>
      <c r="B30" s="25" t="s">
        <v>2762</v>
      </c>
      <c r="C30" s="25" t="s">
        <v>2885</v>
      </c>
      <c r="D30" s="25" t="s">
        <v>2886</v>
      </c>
      <c r="E30" s="25" t="s">
        <v>3018</v>
      </c>
      <c r="F30" s="26" t="s">
        <v>2955</v>
      </c>
      <c r="G30" s="26" t="s">
        <v>2956</v>
      </c>
      <c r="H30" s="26" t="s">
        <v>3016</v>
      </c>
      <c r="I30" s="26" t="s">
        <v>2958</v>
      </c>
      <c r="J30" s="26" t="s">
        <v>2959</v>
      </c>
      <c r="K30" s="26" t="s">
        <v>3019</v>
      </c>
    </row>
    <row r="31" spans="1:11" ht="38.4" customHeight="1" x14ac:dyDescent="0.3">
      <c r="A31" s="25" t="s">
        <v>885</v>
      </c>
      <c r="B31" s="25" t="s">
        <v>2762</v>
      </c>
      <c r="C31" s="25" t="s">
        <v>2803</v>
      </c>
      <c r="D31" s="25" t="s">
        <v>2804</v>
      </c>
      <c r="E31" s="25" t="s">
        <v>3020</v>
      </c>
      <c r="F31" s="26" t="s">
        <v>2955</v>
      </c>
      <c r="G31" s="26" t="s">
        <v>2956</v>
      </c>
      <c r="H31" s="26" t="s">
        <v>3016</v>
      </c>
      <c r="I31" s="26" t="s">
        <v>2958</v>
      </c>
      <c r="J31" s="26" t="s">
        <v>2959</v>
      </c>
      <c r="K31" s="26" t="s">
        <v>53</v>
      </c>
    </row>
    <row r="32" spans="1:11" ht="38.4" customHeight="1" x14ac:dyDescent="0.3">
      <c r="A32" s="25" t="s">
        <v>885</v>
      </c>
      <c r="B32" s="25" t="s">
        <v>2762</v>
      </c>
      <c r="C32" s="25" t="s">
        <v>2846</v>
      </c>
      <c r="D32" s="25" t="s">
        <v>2847</v>
      </c>
      <c r="E32" s="25" t="s">
        <v>3021</v>
      </c>
      <c r="F32" s="26" t="s">
        <v>2955</v>
      </c>
      <c r="G32" s="26" t="s">
        <v>2956</v>
      </c>
      <c r="H32" s="26" t="s">
        <v>3016</v>
      </c>
      <c r="I32" s="26" t="s">
        <v>2958</v>
      </c>
      <c r="J32" s="26" t="s">
        <v>2959</v>
      </c>
      <c r="K32" s="26" t="s">
        <v>414</v>
      </c>
    </row>
  </sheetData>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62"/>
  <sheetViews>
    <sheetView topLeftCell="A171" workbookViewId="0">
      <selection activeCell="C1" sqref="C1"/>
    </sheetView>
  </sheetViews>
  <sheetFormatPr defaultRowHeight="14.4" x14ac:dyDescent="0.3"/>
  <cols>
    <col min="1" max="1" width="12.109375" customWidth="1"/>
    <col min="2" max="2" width="45" customWidth="1"/>
    <col min="3" max="3" width="20.6640625" customWidth="1"/>
    <col min="4" max="4" width="12.109375" customWidth="1"/>
    <col min="5" max="5" width="7.109375" customWidth="1"/>
    <col min="6" max="7" width="33.5546875" customWidth="1"/>
    <col min="8" max="8" width="45" customWidth="1"/>
    <col min="9" max="9" width="51.88671875" customWidth="1"/>
    <col min="10" max="10" width="27.21875" customWidth="1"/>
    <col min="11" max="11" width="39.33203125" customWidth="1"/>
    <col min="12" max="12" width="16.44140625" customWidth="1"/>
    <col min="13" max="13" width="39.33203125" customWidth="1"/>
  </cols>
  <sheetData>
    <row r="1" spans="1:13" ht="28.8" customHeight="1" x14ac:dyDescent="0.3">
      <c r="A1" s="23" t="s">
        <v>2741</v>
      </c>
      <c r="B1" s="23" t="s">
        <v>3</v>
      </c>
      <c r="C1" s="23" t="s">
        <v>2182</v>
      </c>
      <c r="D1" s="23" t="s">
        <v>2183</v>
      </c>
      <c r="E1" s="23" t="s">
        <v>2742</v>
      </c>
      <c r="F1" s="23" t="s">
        <v>2743</v>
      </c>
      <c r="G1" s="23" t="s">
        <v>2744</v>
      </c>
      <c r="H1" s="23" t="s">
        <v>2745</v>
      </c>
      <c r="I1" s="23" t="s">
        <v>2746</v>
      </c>
      <c r="J1" s="24" t="s">
        <v>2747</v>
      </c>
      <c r="K1" s="24" t="s">
        <v>2748</v>
      </c>
      <c r="L1" s="24" t="s">
        <v>2749</v>
      </c>
      <c r="M1" s="24" t="s">
        <v>2750</v>
      </c>
    </row>
    <row r="2" spans="1:13" ht="33.6" customHeight="1" x14ac:dyDescent="0.3">
      <c r="A2" s="25" t="s">
        <v>819</v>
      </c>
      <c r="B2" s="25" t="s">
        <v>820</v>
      </c>
      <c r="C2" s="25" t="s">
        <v>773</v>
      </c>
      <c r="D2" s="25" t="s">
        <v>18</v>
      </c>
      <c r="E2" s="25" t="s">
        <v>66</v>
      </c>
      <c r="F2" s="25" t="s">
        <v>2751</v>
      </c>
      <c r="G2" s="25" t="s">
        <v>2752</v>
      </c>
      <c r="H2" s="25" t="s">
        <v>820</v>
      </c>
      <c r="I2" s="25" t="s">
        <v>2753</v>
      </c>
      <c r="J2" s="26" t="s">
        <v>2754</v>
      </c>
      <c r="K2" s="26" t="s">
        <v>2755</v>
      </c>
      <c r="L2" s="26">
        <v>123</v>
      </c>
      <c r="M2" s="26" t="s">
        <v>2756</v>
      </c>
    </row>
    <row r="3" spans="1:13" ht="33.6" customHeight="1" x14ac:dyDescent="0.3">
      <c r="A3" s="25" t="s">
        <v>819</v>
      </c>
      <c r="B3" s="25" t="s">
        <v>820</v>
      </c>
      <c r="C3" s="25" t="s">
        <v>773</v>
      </c>
      <c r="D3" s="25" t="s">
        <v>18</v>
      </c>
      <c r="E3" s="25" t="s">
        <v>127</v>
      </c>
      <c r="F3" s="25" t="s">
        <v>2757</v>
      </c>
      <c r="G3" s="25" t="s">
        <v>2758</v>
      </c>
      <c r="H3" s="25" t="s">
        <v>820</v>
      </c>
      <c r="I3" s="25" t="s">
        <v>2759</v>
      </c>
      <c r="J3" s="26" t="s">
        <v>2754</v>
      </c>
      <c r="K3" s="26" t="s">
        <v>2755</v>
      </c>
      <c r="L3" s="26">
        <v>127</v>
      </c>
      <c r="M3" s="26" t="s">
        <v>2756</v>
      </c>
    </row>
    <row r="4" spans="1:13" ht="33.6" customHeight="1" x14ac:dyDescent="0.3">
      <c r="A4" s="25" t="s">
        <v>855</v>
      </c>
      <c r="B4" s="25" t="s">
        <v>856</v>
      </c>
      <c r="C4" s="25" t="s">
        <v>773</v>
      </c>
      <c r="D4" s="25" t="s">
        <v>18</v>
      </c>
      <c r="E4" s="25" t="s">
        <v>127</v>
      </c>
      <c r="F4" s="25" t="s">
        <v>2757</v>
      </c>
      <c r="G4" s="25" t="s">
        <v>2760</v>
      </c>
      <c r="H4" s="25" t="s">
        <v>856</v>
      </c>
      <c r="I4" s="25" t="s">
        <v>2761</v>
      </c>
      <c r="J4" s="26" t="s">
        <v>2754</v>
      </c>
      <c r="K4" s="26" t="s">
        <v>2755</v>
      </c>
      <c r="L4" s="26">
        <v>127</v>
      </c>
      <c r="M4" s="26" t="s">
        <v>2756</v>
      </c>
    </row>
    <row r="5" spans="1:13" ht="33.6" customHeight="1" x14ac:dyDescent="0.3">
      <c r="A5" s="25" t="s">
        <v>855</v>
      </c>
      <c r="B5" s="25" t="s">
        <v>856</v>
      </c>
      <c r="C5" s="25" t="s">
        <v>773</v>
      </c>
      <c r="D5" s="25" t="s">
        <v>18</v>
      </c>
      <c r="E5" s="25" t="s">
        <v>885</v>
      </c>
      <c r="F5" s="25" t="s">
        <v>2762</v>
      </c>
      <c r="G5" s="25" t="s">
        <v>2763</v>
      </c>
      <c r="H5" s="25" t="s">
        <v>856</v>
      </c>
      <c r="I5" s="25" t="s">
        <v>2764</v>
      </c>
      <c r="J5" s="26" t="s">
        <v>2754</v>
      </c>
      <c r="K5" s="26" t="s">
        <v>2755</v>
      </c>
      <c r="L5" s="26">
        <v>14</v>
      </c>
      <c r="M5" s="26" t="s">
        <v>2756</v>
      </c>
    </row>
    <row r="6" spans="1:13" ht="33.6" customHeight="1" x14ac:dyDescent="0.3">
      <c r="A6" s="25" t="s">
        <v>892</v>
      </c>
      <c r="B6" s="25" t="s">
        <v>893</v>
      </c>
      <c r="C6" s="25" t="s">
        <v>773</v>
      </c>
      <c r="D6" s="25" t="s">
        <v>18</v>
      </c>
      <c r="E6" s="25" t="s">
        <v>210</v>
      </c>
      <c r="F6" s="25" t="s">
        <v>2765</v>
      </c>
      <c r="G6" s="25" t="s">
        <v>2766</v>
      </c>
      <c r="H6" s="25" t="s">
        <v>893</v>
      </c>
      <c r="I6" s="25" t="s">
        <v>2767</v>
      </c>
      <c r="J6" s="26" t="s">
        <v>2754</v>
      </c>
      <c r="K6" s="26" t="s">
        <v>2755</v>
      </c>
      <c r="L6" s="26">
        <v>38</v>
      </c>
      <c r="M6" s="26" t="s">
        <v>2756</v>
      </c>
    </row>
    <row r="7" spans="1:13" ht="33.6" customHeight="1" x14ac:dyDescent="0.3">
      <c r="A7" s="25" t="s">
        <v>892</v>
      </c>
      <c r="B7" s="25" t="s">
        <v>893</v>
      </c>
      <c r="C7" s="25" t="s">
        <v>773</v>
      </c>
      <c r="D7" s="25" t="s">
        <v>18</v>
      </c>
      <c r="E7" s="25" t="s">
        <v>127</v>
      </c>
      <c r="F7" s="25" t="s">
        <v>2757</v>
      </c>
      <c r="G7" s="25" t="s">
        <v>2760</v>
      </c>
      <c r="H7" s="25" t="s">
        <v>893</v>
      </c>
      <c r="I7" s="25" t="s">
        <v>2761</v>
      </c>
      <c r="J7" s="26" t="s">
        <v>2754</v>
      </c>
      <c r="K7" s="26" t="s">
        <v>2755</v>
      </c>
      <c r="L7" s="26">
        <v>127</v>
      </c>
      <c r="M7" s="26" t="s">
        <v>2756</v>
      </c>
    </row>
    <row r="8" spans="1:13" ht="33.6" customHeight="1" x14ac:dyDescent="0.3">
      <c r="A8" s="25" t="s">
        <v>892</v>
      </c>
      <c r="B8" s="25" t="s">
        <v>893</v>
      </c>
      <c r="C8" s="25" t="s">
        <v>773</v>
      </c>
      <c r="D8" s="25" t="s">
        <v>18</v>
      </c>
      <c r="E8" s="25" t="s">
        <v>127</v>
      </c>
      <c r="F8" s="25" t="s">
        <v>2757</v>
      </c>
      <c r="G8" s="25" t="s">
        <v>2758</v>
      </c>
      <c r="H8" s="25" t="s">
        <v>893</v>
      </c>
      <c r="I8" s="25" t="s">
        <v>2759</v>
      </c>
      <c r="J8" s="26" t="s">
        <v>2754</v>
      </c>
      <c r="K8" s="26" t="s">
        <v>2755</v>
      </c>
      <c r="L8" s="26">
        <v>127</v>
      </c>
      <c r="M8" s="26" t="s">
        <v>2756</v>
      </c>
    </row>
    <row r="9" spans="1:13" ht="33.6" customHeight="1" x14ac:dyDescent="0.3">
      <c r="A9" s="25" t="s">
        <v>892</v>
      </c>
      <c r="B9" s="25" t="s">
        <v>893</v>
      </c>
      <c r="C9" s="25" t="s">
        <v>773</v>
      </c>
      <c r="D9" s="25" t="s">
        <v>18</v>
      </c>
      <c r="E9" s="25" t="s">
        <v>885</v>
      </c>
      <c r="F9" s="25" t="s">
        <v>2762</v>
      </c>
      <c r="G9" s="25" t="s">
        <v>2763</v>
      </c>
      <c r="H9" s="25" t="s">
        <v>893</v>
      </c>
      <c r="I9" s="25" t="s">
        <v>2764</v>
      </c>
      <c r="J9" s="26" t="s">
        <v>2754</v>
      </c>
      <c r="K9" s="26" t="s">
        <v>2755</v>
      </c>
      <c r="L9" s="26">
        <v>14</v>
      </c>
      <c r="M9" s="26" t="s">
        <v>2756</v>
      </c>
    </row>
    <row r="10" spans="1:13" ht="33.6" customHeight="1" x14ac:dyDescent="0.3">
      <c r="A10" s="25" t="s">
        <v>899</v>
      </c>
      <c r="B10" s="25" t="s">
        <v>900</v>
      </c>
      <c r="C10" s="25" t="s">
        <v>773</v>
      </c>
      <c r="D10" s="25" t="s">
        <v>18</v>
      </c>
      <c r="E10" s="25" t="s">
        <v>210</v>
      </c>
      <c r="F10" s="25" t="s">
        <v>2765</v>
      </c>
      <c r="G10" s="25" t="s">
        <v>2766</v>
      </c>
      <c r="H10" s="25" t="s">
        <v>900</v>
      </c>
      <c r="I10" s="25" t="s">
        <v>2767</v>
      </c>
      <c r="J10" s="26" t="s">
        <v>2754</v>
      </c>
      <c r="K10" s="26" t="s">
        <v>2755</v>
      </c>
      <c r="L10" s="26">
        <v>38</v>
      </c>
      <c r="M10" s="26" t="s">
        <v>2756</v>
      </c>
    </row>
    <row r="11" spans="1:13" ht="33.6" customHeight="1" x14ac:dyDescent="0.3">
      <c r="A11" s="25" t="s">
        <v>899</v>
      </c>
      <c r="B11" s="25" t="s">
        <v>900</v>
      </c>
      <c r="C11" s="25" t="s">
        <v>773</v>
      </c>
      <c r="D11" s="25" t="s">
        <v>18</v>
      </c>
      <c r="E11" s="25" t="s">
        <v>260</v>
      </c>
      <c r="F11" s="25" t="s">
        <v>2768</v>
      </c>
      <c r="G11" s="25" t="s">
        <v>2769</v>
      </c>
      <c r="H11" s="25" t="s">
        <v>900</v>
      </c>
      <c r="I11" s="25" t="s">
        <v>2770</v>
      </c>
      <c r="J11" s="26" t="s">
        <v>2754</v>
      </c>
      <c r="K11" s="26" t="s">
        <v>2755</v>
      </c>
      <c r="L11" s="26">
        <v>75</v>
      </c>
      <c r="M11" s="26" t="s">
        <v>2756</v>
      </c>
    </row>
    <row r="12" spans="1:13" ht="33.6" customHeight="1" x14ac:dyDescent="0.3">
      <c r="A12" s="25" t="s">
        <v>899</v>
      </c>
      <c r="B12" s="25" t="s">
        <v>900</v>
      </c>
      <c r="C12" s="25" t="s">
        <v>773</v>
      </c>
      <c r="D12" s="25" t="s">
        <v>18</v>
      </c>
      <c r="E12" s="25" t="s">
        <v>260</v>
      </c>
      <c r="F12" s="25" t="s">
        <v>2768</v>
      </c>
      <c r="G12" s="25" t="s">
        <v>2771</v>
      </c>
      <c r="H12" s="25" t="s">
        <v>900</v>
      </c>
      <c r="I12" s="25" t="s">
        <v>2772</v>
      </c>
      <c r="J12" s="26" t="s">
        <v>2754</v>
      </c>
      <c r="K12" s="26" t="s">
        <v>2755</v>
      </c>
      <c r="L12" s="26">
        <v>75</v>
      </c>
      <c r="M12" s="26" t="s">
        <v>2756</v>
      </c>
    </row>
    <row r="13" spans="1:13" ht="33.6" customHeight="1" x14ac:dyDescent="0.3">
      <c r="A13" s="25" t="s">
        <v>899</v>
      </c>
      <c r="B13" s="25" t="s">
        <v>900</v>
      </c>
      <c r="C13" s="25" t="s">
        <v>773</v>
      </c>
      <c r="D13" s="25" t="s">
        <v>18</v>
      </c>
      <c r="E13" s="25" t="s">
        <v>66</v>
      </c>
      <c r="F13" s="25" t="s">
        <v>2751</v>
      </c>
      <c r="G13" s="25" t="s">
        <v>2773</v>
      </c>
      <c r="H13" s="25" t="s">
        <v>900</v>
      </c>
      <c r="I13" s="25" t="s">
        <v>2774</v>
      </c>
      <c r="J13" s="26" t="s">
        <v>2754</v>
      </c>
      <c r="K13" s="26" t="s">
        <v>2755</v>
      </c>
      <c r="L13" s="26">
        <v>123</v>
      </c>
      <c r="M13" s="26" t="s">
        <v>2756</v>
      </c>
    </row>
    <row r="14" spans="1:13" ht="33.6" customHeight="1" x14ac:dyDescent="0.3">
      <c r="A14" s="25" t="s">
        <v>899</v>
      </c>
      <c r="B14" s="25" t="s">
        <v>900</v>
      </c>
      <c r="C14" s="25" t="s">
        <v>773</v>
      </c>
      <c r="D14" s="25" t="s">
        <v>18</v>
      </c>
      <c r="E14" s="25" t="s">
        <v>66</v>
      </c>
      <c r="F14" s="25" t="s">
        <v>2751</v>
      </c>
      <c r="G14" s="25" t="s">
        <v>2775</v>
      </c>
      <c r="H14" s="25" t="s">
        <v>900</v>
      </c>
      <c r="I14" s="25" t="s">
        <v>2776</v>
      </c>
      <c r="J14" s="26" t="s">
        <v>2754</v>
      </c>
      <c r="K14" s="26" t="s">
        <v>2755</v>
      </c>
      <c r="L14" s="26">
        <v>123</v>
      </c>
      <c r="M14" s="26" t="s">
        <v>2756</v>
      </c>
    </row>
    <row r="15" spans="1:13" ht="33.6" customHeight="1" x14ac:dyDescent="0.3">
      <c r="A15" s="25" t="s">
        <v>899</v>
      </c>
      <c r="B15" s="25" t="s">
        <v>900</v>
      </c>
      <c r="C15" s="25" t="s">
        <v>773</v>
      </c>
      <c r="D15" s="25" t="s">
        <v>18</v>
      </c>
      <c r="E15" s="25" t="s">
        <v>66</v>
      </c>
      <c r="F15" s="25" t="s">
        <v>2751</v>
      </c>
      <c r="G15" s="25" t="s">
        <v>2777</v>
      </c>
      <c r="H15" s="25" t="s">
        <v>900</v>
      </c>
      <c r="I15" s="25" t="s">
        <v>2778</v>
      </c>
      <c r="J15" s="26" t="s">
        <v>2754</v>
      </c>
      <c r="K15" s="26" t="s">
        <v>2755</v>
      </c>
      <c r="L15" s="26">
        <v>123</v>
      </c>
      <c r="M15" s="26" t="s">
        <v>2756</v>
      </c>
    </row>
    <row r="16" spans="1:13" ht="33.6" customHeight="1" x14ac:dyDescent="0.3">
      <c r="A16" s="25" t="s">
        <v>899</v>
      </c>
      <c r="B16" s="25" t="s">
        <v>900</v>
      </c>
      <c r="C16" s="25" t="s">
        <v>773</v>
      </c>
      <c r="D16" s="25" t="s">
        <v>18</v>
      </c>
      <c r="E16" s="25" t="s">
        <v>127</v>
      </c>
      <c r="F16" s="25" t="s">
        <v>2757</v>
      </c>
      <c r="G16" s="25" t="s">
        <v>2758</v>
      </c>
      <c r="H16" s="25" t="s">
        <v>900</v>
      </c>
      <c r="I16" s="25" t="s">
        <v>2779</v>
      </c>
      <c r="J16" s="26" t="s">
        <v>2754</v>
      </c>
      <c r="K16" s="26" t="s">
        <v>2755</v>
      </c>
      <c r="L16" s="26">
        <v>127</v>
      </c>
      <c r="M16" s="26" t="s">
        <v>2756</v>
      </c>
    </row>
    <row r="17" spans="1:13" ht="33.6" customHeight="1" x14ac:dyDescent="0.3">
      <c r="A17" s="25" t="s">
        <v>911</v>
      </c>
      <c r="B17" s="25" t="s">
        <v>912</v>
      </c>
      <c r="C17" s="25" t="s">
        <v>773</v>
      </c>
      <c r="D17" s="25" t="s">
        <v>18</v>
      </c>
      <c r="E17" s="25" t="s">
        <v>260</v>
      </c>
      <c r="F17" s="25" t="s">
        <v>2768</v>
      </c>
      <c r="G17" s="25" t="s">
        <v>2771</v>
      </c>
      <c r="H17" s="25" t="s">
        <v>912</v>
      </c>
      <c r="I17" s="25" t="s">
        <v>2772</v>
      </c>
      <c r="J17" s="26" t="s">
        <v>2754</v>
      </c>
      <c r="K17" s="26" t="s">
        <v>2755</v>
      </c>
      <c r="L17" s="26">
        <v>75</v>
      </c>
      <c r="M17" s="26" t="s">
        <v>2756</v>
      </c>
    </row>
    <row r="18" spans="1:13" ht="33.6" customHeight="1" x14ac:dyDescent="0.3">
      <c r="A18" s="25" t="s">
        <v>911</v>
      </c>
      <c r="B18" s="25" t="s">
        <v>912</v>
      </c>
      <c r="C18" s="25" t="s">
        <v>773</v>
      </c>
      <c r="D18" s="25" t="s">
        <v>18</v>
      </c>
      <c r="E18" s="25" t="s">
        <v>66</v>
      </c>
      <c r="F18" s="25" t="s">
        <v>2751</v>
      </c>
      <c r="G18" s="25" t="s">
        <v>2773</v>
      </c>
      <c r="H18" s="25" t="s">
        <v>912</v>
      </c>
      <c r="I18" s="25" t="s">
        <v>2774</v>
      </c>
      <c r="J18" s="26" t="s">
        <v>2754</v>
      </c>
      <c r="K18" s="26" t="s">
        <v>2755</v>
      </c>
      <c r="L18" s="26">
        <v>123</v>
      </c>
      <c r="M18" s="26" t="s">
        <v>2756</v>
      </c>
    </row>
    <row r="19" spans="1:13" ht="33.6" customHeight="1" x14ac:dyDescent="0.3">
      <c r="A19" s="25" t="s">
        <v>911</v>
      </c>
      <c r="B19" s="25" t="s">
        <v>912</v>
      </c>
      <c r="C19" s="25" t="s">
        <v>773</v>
      </c>
      <c r="D19" s="25" t="s">
        <v>18</v>
      </c>
      <c r="E19" s="25" t="s">
        <v>66</v>
      </c>
      <c r="F19" s="25" t="s">
        <v>2751</v>
      </c>
      <c r="G19" s="25" t="s">
        <v>2775</v>
      </c>
      <c r="H19" s="25" t="s">
        <v>912</v>
      </c>
      <c r="I19" s="25" t="s">
        <v>2776</v>
      </c>
      <c r="J19" s="26" t="s">
        <v>2754</v>
      </c>
      <c r="K19" s="26" t="s">
        <v>2755</v>
      </c>
      <c r="L19" s="26">
        <v>123</v>
      </c>
      <c r="M19" s="26" t="s">
        <v>2756</v>
      </c>
    </row>
    <row r="20" spans="1:13" ht="33.6" customHeight="1" x14ac:dyDescent="0.3">
      <c r="A20" s="25" t="s">
        <v>911</v>
      </c>
      <c r="B20" s="25" t="s">
        <v>912</v>
      </c>
      <c r="C20" s="25" t="s">
        <v>773</v>
      </c>
      <c r="D20" s="25" t="s">
        <v>18</v>
      </c>
      <c r="E20" s="25" t="s">
        <v>66</v>
      </c>
      <c r="F20" s="25" t="s">
        <v>2751</v>
      </c>
      <c r="G20" s="25" t="s">
        <v>2777</v>
      </c>
      <c r="H20" s="25" t="s">
        <v>912</v>
      </c>
      <c r="I20" s="25" t="s">
        <v>2778</v>
      </c>
      <c r="J20" s="26" t="s">
        <v>2754</v>
      </c>
      <c r="K20" s="26" t="s">
        <v>2755</v>
      </c>
      <c r="L20" s="26">
        <v>123</v>
      </c>
      <c r="M20" s="26" t="s">
        <v>2756</v>
      </c>
    </row>
    <row r="21" spans="1:13" ht="33.6" customHeight="1" x14ac:dyDescent="0.3">
      <c r="A21" s="25" t="s">
        <v>911</v>
      </c>
      <c r="B21" s="25" t="s">
        <v>912</v>
      </c>
      <c r="C21" s="25" t="s">
        <v>773</v>
      </c>
      <c r="D21" s="25" t="s">
        <v>18</v>
      </c>
      <c r="E21" s="25" t="s">
        <v>127</v>
      </c>
      <c r="F21" s="25" t="s">
        <v>2757</v>
      </c>
      <c r="G21" s="25" t="s">
        <v>2760</v>
      </c>
      <c r="H21" s="25" t="s">
        <v>912</v>
      </c>
      <c r="I21" s="25" t="s">
        <v>2761</v>
      </c>
      <c r="J21" s="26" t="s">
        <v>2754</v>
      </c>
      <c r="K21" s="26" t="s">
        <v>2755</v>
      </c>
      <c r="L21" s="26">
        <v>127</v>
      </c>
      <c r="M21" s="26" t="s">
        <v>2756</v>
      </c>
    </row>
    <row r="22" spans="1:13" ht="33.6" customHeight="1" x14ac:dyDescent="0.3">
      <c r="A22" s="25" t="s">
        <v>923</v>
      </c>
      <c r="B22" s="25" t="s">
        <v>924</v>
      </c>
      <c r="C22" s="25" t="s">
        <v>773</v>
      </c>
      <c r="D22" s="25" t="s">
        <v>18</v>
      </c>
      <c r="E22" s="25" t="s">
        <v>210</v>
      </c>
      <c r="F22" s="25" t="s">
        <v>2765</v>
      </c>
      <c r="G22" s="25" t="s">
        <v>2780</v>
      </c>
      <c r="H22" s="25" t="s">
        <v>924</v>
      </c>
      <c r="I22" s="25" t="s">
        <v>2781</v>
      </c>
      <c r="J22" s="26" t="s">
        <v>2754</v>
      </c>
      <c r="K22" s="26" t="s">
        <v>2755</v>
      </c>
      <c r="L22" s="26">
        <v>38</v>
      </c>
      <c r="M22" s="26" t="s">
        <v>2756</v>
      </c>
    </row>
    <row r="23" spans="1:13" ht="33.6" customHeight="1" x14ac:dyDescent="0.3">
      <c r="A23" s="25" t="s">
        <v>923</v>
      </c>
      <c r="B23" s="25" t="s">
        <v>924</v>
      </c>
      <c r="C23" s="25" t="s">
        <v>773</v>
      </c>
      <c r="D23" s="25" t="s">
        <v>18</v>
      </c>
      <c r="E23" s="25" t="s">
        <v>210</v>
      </c>
      <c r="F23" s="25" t="s">
        <v>2765</v>
      </c>
      <c r="G23" s="25" t="s">
        <v>2766</v>
      </c>
      <c r="H23" s="25" t="s">
        <v>924</v>
      </c>
      <c r="I23" s="25" t="s">
        <v>2767</v>
      </c>
      <c r="J23" s="26" t="s">
        <v>2754</v>
      </c>
      <c r="K23" s="26" t="s">
        <v>2755</v>
      </c>
      <c r="L23" s="26">
        <v>38</v>
      </c>
      <c r="M23" s="26" t="s">
        <v>2756</v>
      </c>
    </row>
    <row r="24" spans="1:13" ht="33.6" customHeight="1" x14ac:dyDescent="0.3">
      <c r="A24" s="25" t="s">
        <v>923</v>
      </c>
      <c r="B24" s="25" t="s">
        <v>924</v>
      </c>
      <c r="C24" s="25" t="s">
        <v>773</v>
      </c>
      <c r="D24" s="25" t="s">
        <v>18</v>
      </c>
      <c r="E24" s="25" t="s">
        <v>210</v>
      </c>
      <c r="F24" s="25" t="s">
        <v>2765</v>
      </c>
      <c r="G24" s="25" t="s">
        <v>2782</v>
      </c>
      <c r="H24" s="25" t="s">
        <v>924</v>
      </c>
      <c r="I24" s="25" t="s">
        <v>2783</v>
      </c>
      <c r="J24" s="26" t="s">
        <v>2754</v>
      </c>
      <c r="K24" s="26" t="s">
        <v>2755</v>
      </c>
      <c r="L24" s="26">
        <v>38</v>
      </c>
      <c r="M24" s="26" t="s">
        <v>2756</v>
      </c>
    </row>
    <row r="25" spans="1:13" ht="33.6" customHeight="1" x14ac:dyDescent="0.3">
      <c r="A25" s="25" t="s">
        <v>923</v>
      </c>
      <c r="B25" s="25" t="s">
        <v>924</v>
      </c>
      <c r="C25" s="25" t="s">
        <v>773</v>
      </c>
      <c r="D25" s="25" t="s">
        <v>18</v>
      </c>
      <c r="E25" s="25" t="s">
        <v>66</v>
      </c>
      <c r="F25" s="25" t="s">
        <v>2751</v>
      </c>
      <c r="G25" s="25" t="s">
        <v>2773</v>
      </c>
      <c r="H25" s="25" t="s">
        <v>924</v>
      </c>
      <c r="I25" s="25" t="s">
        <v>2774</v>
      </c>
      <c r="J25" s="26" t="s">
        <v>2754</v>
      </c>
      <c r="K25" s="26" t="s">
        <v>2755</v>
      </c>
      <c r="L25" s="26">
        <v>123</v>
      </c>
      <c r="M25" s="26" t="s">
        <v>2756</v>
      </c>
    </row>
    <row r="26" spans="1:13" ht="33.6" customHeight="1" x14ac:dyDescent="0.3">
      <c r="A26" s="25" t="s">
        <v>923</v>
      </c>
      <c r="B26" s="25" t="s">
        <v>924</v>
      </c>
      <c r="C26" s="25" t="s">
        <v>773</v>
      </c>
      <c r="D26" s="25" t="s">
        <v>18</v>
      </c>
      <c r="E26" s="25" t="s">
        <v>66</v>
      </c>
      <c r="F26" s="25" t="s">
        <v>2751</v>
      </c>
      <c r="G26" s="25" t="s">
        <v>2784</v>
      </c>
      <c r="H26" s="25" t="s">
        <v>924</v>
      </c>
      <c r="I26" s="25" t="s">
        <v>2785</v>
      </c>
      <c r="J26" s="26" t="s">
        <v>2754</v>
      </c>
      <c r="K26" s="26" t="s">
        <v>2755</v>
      </c>
      <c r="L26" s="26">
        <v>123</v>
      </c>
      <c r="M26" s="26" t="s">
        <v>2756</v>
      </c>
    </row>
    <row r="27" spans="1:13" ht="33.6" customHeight="1" x14ac:dyDescent="0.3">
      <c r="A27" s="25" t="s">
        <v>923</v>
      </c>
      <c r="B27" s="25" t="s">
        <v>924</v>
      </c>
      <c r="C27" s="25" t="s">
        <v>773</v>
      </c>
      <c r="D27" s="25" t="s">
        <v>18</v>
      </c>
      <c r="E27" s="25" t="s">
        <v>66</v>
      </c>
      <c r="F27" s="25" t="s">
        <v>2751</v>
      </c>
      <c r="G27" s="25" t="s">
        <v>2775</v>
      </c>
      <c r="H27" s="25" t="s">
        <v>924</v>
      </c>
      <c r="I27" s="25" t="s">
        <v>2776</v>
      </c>
      <c r="J27" s="26" t="s">
        <v>2754</v>
      </c>
      <c r="K27" s="26" t="s">
        <v>2755</v>
      </c>
      <c r="L27" s="26">
        <v>123</v>
      </c>
      <c r="M27" s="26" t="s">
        <v>2756</v>
      </c>
    </row>
    <row r="28" spans="1:13" ht="33.6" customHeight="1" x14ac:dyDescent="0.3">
      <c r="A28" s="25" t="s">
        <v>923</v>
      </c>
      <c r="B28" s="25" t="s">
        <v>924</v>
      </c>
      <c r="C28" s="25" t="s">
        <v>773</v>
      </c>
      <c r="D28" s="25" t="s">
        <v>18</v>
      </c>
      <c r="E28" s="25" t="s">
        <v>66</v>
      </c>
      <c r="F28" s="25" t="s">
        <v>2751</v>
      </c>
      <c r="G28" s="25" t="s">
        <v>2777</v>
      </c>
      <c r="H28" s="25" t="s">
        <v>924</v>
      </c>
      <c r="I28" s="25" t="s">
        <v>2778</v>
      </c>
      <c r="J28" s="26" t="s">
        <v>2754</v>
      </c>
      <c r="K28" s="26" t="s">
        <v>2755</v>
      </c>
      <c r="L28" s="26">
        <v>123</v>
      </c>
      <c r="M28" s="26" t="s">
        <v>2756</v>
      </c>
    </row>
    <row r="29" spans="1:13" ht="33.6" customHeight="1" x14ac:dyDescent="0.3">
      <c r="A29" s="25" t="s">
        <v>923</v>
      </c>
      <c r="B29" s="25" t="s">
        <v>924</v>
      </c>
      <c r="C29" s="25" t="s">
        <v>773</v>
      </c>
      <c r="D29" s="25" t="s">
        <v>18</v>
      </c>
      <c r="E29" s="25" t="s">
        <v>127</v>
      </c>
      <c r="F29" s="25" t="s">
        <v>2757</v>
      </c>
      <c r="G29" s="25" t="s">
        <v>2786</v>
      </c>
      <c r="H29" s="25" t="s">
        <v>924</v>
      </c>
      <c r="I29" s="25" t="s">
        <v>2787</v>
      </c>
      <c r="J29" s="26" t="s">
        <v>2754</v>
      </c>
      <c r="K29" s="26" t="s">
        <v>2755</v>
      </c>
      <c r="L29" s="26">
        <v>127</v>
      </c>
      <c r="M29" s="26" t="s">
        <v>2756</v>
      </c>
    </row>
    <row r="30" spans="1:13" ht="33.6" customHeight="1" x14ac:dyDescent="0.3">
      <c r="A30" s="25" t="s">
        <v>923</v>
      </c>
      <c r="B30" s="25" t="s">
        <v>924</v>
      </c>
      <c r="C30" s="25" t="s">
        <v>773</v>
      </c>
      <c r="D30" s="25" t="s">
        <v>18</v>
      </c>
      <c r="E30" s="25" t="s">
        <v>127</v>
      </c>
      <c r="F30" s="25" t="s">
        <v>2757</v>
      </c>
      <c r="G30" s="25" t="s">
        <v>2758</v>
      </c>
      <c r="H30" s="25" t="s">
        <v>924</v>
      </c>
      <c r="I30" s="25" t="s">
        <v>2759</v>
      </c>
      <c r="J30" s="26" t="s">
        <v>2754</v>
      </c>
      <c r="K30" s="26" t="s">
        <v>2755</v>
      </c>
      <c r="L30" s="26">
        <v>127</v>
      </c>
      <c r="M30" s="26" t="s">
        <v>2756</v>
      </c>
    </row>
    <row r="31" spans="1:13" ht="33.6" customHeight="1" x14ac:dyDescent="0.3">
      <c r="A31" s="25" t="s">
        <v>954</v>
      </c>
      <c r="B31" s="25" t="s">
        <v>955</v>
      </c>
      <c r="C31" s="25" t="s">
        <v>773</v>
      </c>
      <c r="D31" s="25" t="s">
        <v>18</v>
      </c>
      <c r="E31" s="25" t="s">
        <v>66</v>
      </c>
      <c r="F31" s="25" t="s">
        <v>2751</v>
      </c>
      <c r="G31" s="25" t="s">
        <v>2773</v>
      </c>
      <c r="H31" s="25" t="s">
        <v>955</v>
      </c>
      <c r="I31" s="25" t="s">
        <v>2774</v>
      </c>
      <c r="J31" s="26" t="s">
        <v>2754</v>
      </c>
      <c r="K31" s="26" t="s">
        <v>2755</v>
      </c>
      <c r="L31" s="26">
        <v>123</v>
      </c>
      <c r="M31" s="26" t="s">
        <v>2756</v>
      </c>
    </row>
    <row r="32" spans="1:13" ht="33.6" customHeight="1" x14ac:dyDescent="0.3">
      <c r="A32" s="25" t="s">
        <v>954</v>
      </c>
      <c r="B32" s="25" t="s">
        <v>955</v>
      </c>
      <c r="C32" s="25" t="s">
        <v>773</v>
      </c>
      <c r="D32" s="25" t="s">
        <v>18</v>
      </c>
      <c r="E32" s="25" t="s">
        <v>66</v>
      </c>
      <c r="F32" s="25" t="s">
        <v>2751</v>
      </c>
      <c r="G32" s="25" t="s">
        <v>2775</v>
      </c>
      <c r="H32" s="25" t="s">
        <v>955</v>
      </c>
      <c r="I32" s="25" t="s">
        <v>2776</v>
      </c>
      <c r="J32" s="26" t="s">
        <v>2754</v>
      </c>
      <c r="K32" s="26" t="s">
        <v>2755</v>
      </c>
      <c r="L32" s="26">
        <v>123</v>
      </c>
      <c r="M32" s="26" t="s">
        <v>2756</v>
      </c>
    </row>
    <row r="33" spans="1:13" ht="33.6" customHeight="1" x14ac:dyDescent="0.3">
      <c r="A33" s="25" t="s">
        <v>954</v>
      </c>
      <c r="B33" s="25" t="s">
        <v>955</v>
      </c>
      <c r="C33" s="25" t="s">
        <v>773</v>
      </c>
      <c r="D33" s="25" t="s">
        <v>18</v>
      </c>
      <c r="E33" s="25" t="s">
        <v>127</v>
      </c>
      <c r="F33" s="25" t="s">
        <v>2757</v>
      </c>
      <c r="G33" s="25" t="s">
        <v>2758</v>
      </c>
      <c r="H33" s="25" t="s">
        <v>955</v>
      </c>
      <c r="I33" s="25" t="s">
        <v>2779</v>
      </c>
      <c r="J33" s="26" t="s">
        <v>2754</v>
      </c>
      <c r="K33" s="26" t="s">
        <v>2755</v>
      </c>
      <c r="L33" s="26">
        <v>127</v>
      </c>
      <c r="M33" s="26" t="s">
        <v>2756</v>
      </c>
    </row>
    <row r="34" spans="1:13" ht="33.6" customHeight="1" x14ac:dyDescent="0.3">
      <c r="A34" s="25" t="s">
        <v>960</v>
      </c>
      <c r="B34" s="25" t="s">
        <v>961</v>
      </c>
      <c r="C34" s="25" t="s">
        <v>773</v>
      </c>
      <c r="D34" s="25" t="s">
        <v>18</v>
      </c>
      <c r="E34" s="25" t="s">
        <v>127</v>
      </c>
      <c r="F34" s="25" t="s">
        <v>2757</v>
      </c>
      <c r="G34" s="25" t="s">
        <v>2758</v>
      </c>
      <c r="H34" s="25" t="s">
        <v>961</v>
      </c>
      <c r="I34" s="25" t="s">
        <v>2779</v>
      </c>
      <c r="J34" s="26" t="s">
        <v>2754</v>
      </c>
      <c r="K34" s="26" t="s">
        <v>2755</v>
      </c>
      <c r="L34" s="26">
        <v>127</v>
      </c>
      <c r="M34" s="26" t="s">
        <v>2756</v>
      </c>
    </row>
    <row r="35" spans="1:13" ht="33.6" customHeight="1" x14ac:dyDescent="0.3">
      <c r="A35" s="25" t="s">
        <v>960</v>
      </c>
      <c r="B35" s="25" t="s">
        <v>961</v>
      </c>
      <c r="C35" s="25" t="s">
        <v>773</v>
      </c>
      <c r="D35" s="25" t="s">
        <v>18</v>
      </c>
      <c r="E35" s="25" t="s">
        <v>885</v>
      </c>
      <c r="F35" s="25" t="s">
        <v>2762</v>
      </c>
      <c r="G35" s="25" t="s">
        <v>2763</v>
      </c>
      <c r="H35" s="25" t="s">
        <v>961</v>
      </c>
      <c r="I35" s="25" t="s">
        <v>2764</v>
      </c>
      <c r="J35" s="26" t="s">
        <v>2754</v>
      </c>
      <c r="K35" s="26" t="s">
        <v>2755</v>
      </c>
      <c r="L35" s="26">
        <v>14</v>
      </c>
      <c r="M35" s="26" t="s">
        <v>2756</v>
      </c>
    </row>
    <row r="36" spans="1:13" ht="33.6" customHeight="1" x14ac:dyDescent="0.3">
      <c r="A36" s="25" t="s">
        <v>1027</v>
      </c>
      <c r="B36" s="25" t="s">
        <v>1028</v>
      </c>
      <c r="C36" s="25" t="s">
        <v>773</v>
      </c>
      <c r="D36" s="25" t="s">
        <v>18</v>
      </c>
      <c r="E36" s="25" t="s">
        <v>127</v>
      </c>
      <c r="F36" s="25" t="s">
        <v>2757</v>
      </c>
      <c r="G36" s="25" t="s">
        <v>2760</v>
      </c>
      <c r="H36" s="25" t="s">
        <v>1028</v>
      </c>
      <c r="I36" s="25" t="s">
        <v>2761</v>
      </c>
      <c r="J36" s="26" t="s">
        <v>2754</v>
      </c>
      <c r="K36" s="26" t="s">
        <v>2755</v>
      </c>
      <c r="L36" s="26">
        <v>127</v>
      </c>
      <c r="M36" s="26" t="s">
        <v>2756</v>
      </c>
    </row>
    <row r="37" spans="1:13" ht="33.6" customHeight="1" x14ac:dyDescent="0.3">
      <c r="A37" s="25" t="s">
        <v>1027</v>
      </c>
      <c r="B37" s="25" t="s">
        <v>1028</v>
      </c>
      <c r="C37" s="25" t="s">
        <v>773</v>
      </c>
      <c r="D37" s="25" t="s">
        <v>18</v>
      </c>
      <c r="E37" s="25" t="s">
        <v>127</v>
      </c>
      <c r="F37" s="25" t="s">
        <v>2757</v>
      </c>
      <c r="G37" s="25" t="s">
        <v>2758</v>
      </c>
      <c r="H37" s="25" t="s">
        <v>1028</v>
      </c>
      <c r="I37" s="25" t="s">
        <v>2759</v>
      </c>
      <c r="J37" s="26" t="s">
        <v>2754</v>
      </c>
      <c r="K37" s="26" t="s">
        <v>2755</v>
      </c>
      <c r="L37" s="26">
        <v>127</v>
      </c>
      <c r="M37" s="26" t="s">
        <v>2756</v>
      </c>
    </row>
    <row r="38" spans="1:13" ht="33.6" customHeight="1" x14ac:dyDescent="0.3">
      <c r="A38" s="25" t="s">
        <v>14</v>
      </c>
      <c r="B38" s="25" t="s">
        <v>15</v>
      </c>
      <c r="C38" s="25" t="s">
        <v>17</v>
      </c>
      <c r="D38" s="25" t="s">
        <v>18</v>
      </c>
      <c r="E38" s="25" t="s">
        <v>260</v>
      </c>
      <c r="F38" s="25" t="s">
        <v>2768</v>
      </c>
      <c r="G38" s="25" t="s">
        <v>2769</v>
      </c>
      <c r="H38" s="25" t="s">
        <v>15</v>
      </c>
      <c r="I38" s="25" t="s">
        <v>2770</v>
      </c>
      <c r="J38" s="26" t="s">
        <v>2754</v>
      </c>
      <c r="K38" s="26" t="s">
        <v>2755</v>
      </c>
      <c r="L38" s="26">
        <v>75</v>
      </c>
      <c r="M38" s="26" t="s">
        <v>2756</v>
      </c>
    </row>
    <row r="39" spans="1:13" ht="33.6" customHeight="1" x14ac:dyDescent="0.3">
      <c r="A39" s="25" t="s">
        <v>14</v>
      </c>
      <c r="B39" s="25" t="s">
        <v>15</v>
      </c>
      <c r="C39" s="25" t="s">
        <v>17</v>
      </c>
      <c r="D39" s="25" t="s">
        <v>18</v>
      </c>
      <c r="E39" s="25" t="s">
        <v>66</v>
      </c>
      <c r="F39" s="25" t="s">
        <v>2751</v>
      </c>
      <c r="G39" s="25" t="s">
        <v>2773</v>
      </c>
      <c r="H39" s="25" t="s">
        <v>15</v>
      </c>
      <c r="I39" s="25" t="s">
        <v>2774</v>
      </c>
      <c r="J39" s="26" t="s">
        <v>2754</v>
      </c>
      <c r="K39" s="26" t="s">
        <v>2755</v>
      </c>
      <c r="L39" s="26">
        <v>123</v>
      </c>
      <c r="M39" s="26" t="s">
        <v>2756</v>
      </c>
    </row>
    <row r="40" spans="1:13" ht="33.6" customHeight="1" x14ac:dyDescent="0.3">
      <c r="A40" s="25" t="s">
        <v>14</v>
      </c>
      <c r="B40" s="25" t="s">
        <v>15</v>
      </c>
      <c r="C40" s="25" t="s">
        <v>17</v>
      </c>
      <c r="D40" s="25" t="s">
        <v>18</v>
      </c>
      <c r="E40" s="25" t="s">
        <v>127</v>
      </c>
      <c r="F40" s="25" t="s">
        <v>2757</v>
      </c>
      <c r="G40" s="25" t="s">
        <v>2758</v>
      </c>
      <c r="H40" s="25" t="s">
        <v>15</v>
      </c>
      <c r="I40" s="25" t="s">
        <v>2779</v>
      </c>
      <c r="J40" s="26" t="s">
        <v>2754</v>
      </c>
      <c r="K40" s="26" t="s">
        <v>2755</v>
      </c>
      <c r="L40" s="26">
        <v>127</v>
      </c>
      <c r="M40" s="26" t="s">
        <v>2756</v>
      </c>
    </row>
    <row r="41" spans="1:13" ht="33.6" customHeight="1" x14ac:dyDescent="0.3">
      <c r="A41" s="25" t="s">
        <v>25</v>
      </c>
      <c r="B41" s="25" t="s">
        <v>26</v>
      </c>
      <c r="C41" s="25" t="s">
        <v>17</v>
      </c>
      <c r="D41" s="25" t="s">
        <v>18</v>
      </c>
      <c r="E41" s="25" t="s">
        <v>260</v>
      </c>
      <c r="F41" s="25" t="s">
        <v>2768</v>
      </c>
      <c r="G41" s="25" t="s">
        <v>2788</v>
      </c>
      <c r="H41" s="25" t="s">
        <v>26</v>
      </c>
      <c r="I41" s="25" t="s">
        <v>2789</v>
      </c>
      <c r="J41" s="26" t="s">
        <v>2754</v>
      </c>
      <c r="K41" s="26" t="s">
        <v>2755</v>
      </c>
      <c r="L41" s="26">
        <v>75</v>
      </c>
      <c r="M41" s="26" t="s">
        <v>2756</v>
      </c>
    </row>
    <row r="42" spans="1:13" ht="33.6" customHeight="1" x14ac:dyDescent="0.3">
      <c r="A42" s="25" t="s">
        <v>25</v>
      </c>
      <c r="B42" s="25" t="s">
        <v>26</v>
      </c>
      <c r="C42" s="25" t="s">
        <v>17</v>
      </c>
      <c r="D42" s="25" t="s">
        <v>18</v>
      </c>
      <c r="E42" s="25" t="s">
        <v>260</v>
      </c>
      <c r="F42" s="25" t="s">
        <v>2768</v>
      </c>
      <c r="G42" s="25" t="s">
        <v>2790</v>
      </c>
      <c r="H42" s="25" t="s">
        <v>26</v>
      </c>
      <c r="I42" s="25" t="s">
        <v>2791</v>
      </c>
      <c r="J42" s="26" t="s">
        <v>2754</v>
      </c>
      <c r="K42" s="26" t="s">
        <v>2755</v>
      </c>
      <c r="L42" s="26">
        <v>75</v>
      </c>
      <c r="M42" s="26" t="s">
        <v>2756</v>
      </c>
    </row>
    <row r="43" spans="1:13" ht="33.6" customHeight="1" x14ac:dyDescent="0.3">
      <c r="A43" s="25" t="s">
        <v>25</v>
      </c>
      <c r="B43" s="25" t="s">
        <v>26</v>
      </c>
      <c r="C43" s="25" t="s">
        <v>17</v>
      </c>
      <c r="D43" s="25" t="s">
        <v>18</v>
      </c>
      <c r="E43" s="25" t="s">
        <v>66</v>
      </c>
      <c r="F43" s="25" t="s">
        <v>2751</v>
      </c>
      <c r="G43" s="25" t="s">
        <v>2773</v>
      </c>
      <c r="H43" s="25" t="s">
        <v>26</v>
      </c>
      <c r="I43" s="25" t="s">
        <v>2774</v>
      </c>
      <c r="J43" s="26" t="s">
        <v>2754</v>
      </c>
      <c r="K43" s="26" t="s">
        <v>2755</v>
      </c>
      <c r="L43" s="26">
        <v>123</v>
      </c>
      <c r="M43" s="26" t="s">
        <v>2756</v>
      </c>
    </row>
    <row r="44" spans="1:13" ht="33.6" customHeight="1" x14ac:dyDescent="0.3">
      <c r="A44" s="25" t="s">
        <v>25</v>
      </c>
      <c r="B44" s="25" t="s">
        <v>26</v>
      </c>
      <c r="C44" s="25" t="s">
        <v>17</v>
      </c>
      <c r="D44" s="25" t="s">
        <v>18</v>
      </c>
      <c r="E44" s="25" t="s">
        <v>66</v>
      </c>
      <c r="F44" s="25" t="s">
        <v>2751</v>
      </c>
      <c r="G44" s="25" t="s">
        <v>2775</v>
      </c>
      <c r="H44" s="25" t="s">
        <v>26</v>
      </c>
      <c r="I44" s="25" t="s">
        <v>2776</v>
      </c>
      <c r="J44" s="26" t="s">
        <v>2754</v>
      </c>
      <c r="K44" s="26" t="s">
        <v>2755</v>
      </c>
      <c r="L44" s="26">
        <v>123</v>
      </c>
      <c r="M44" s="26" t="s">
        <v>2756</v>
      </c>
    </row>
    <row r="45" spans="1:13" ht="33.6" customHeight="1" x14ac:dyDescent="0.3">
      <c r="A45" s="25" t="s">
        <v>25</v>
      </c>
      <c r="B45" s="25" t="s">
        <v>26</v>
      </c>
      <c r="C45" s="25" t="s">
        <v>17</v>
      </c>
      <c r="D45" s="25" t="s">
        <v>18</v>
      </c>
      <c r="E45" s="25" t="s">
        <v>127</v>
      </c>
      <c r="F45" s="25" t="s">
        <v>2757</v>
      </c>
      <c r="G45" s="25" t="s">
        <v>2792</v>
      </c>
      <c r="H45" s="25" t="s">
        <v>26</v>
      </c>
      <c r="I45" s="25" t="s">
        <v>2793</v>
      </c>
      <c r="J45" s="26" t="s">
        <v>2754</v>
      </c>
      <c r="K45" s="26" t="s">
        <v>2755</v>
      </c>
      <c r="L45" s="26">
        <v>127</v>
      </c>
      <c r="M45" s="26" t="s">
        <v>2756</v>
      </c>
    </row>
    <row r="46" spans="1:13" ht="33.6" customHeight="1" x14ac:dyDescent="0.3">
      <c r="A46" s="25" t="s">
        <v>31</v>
      </c>
      <c r="B46" s="25" t="s">
        <v>32</v>
      </c>
      <c r="C46" s="25" t="s">
        <v>17</v>
      </c>
      <c r="D46" s="25" t="s">
        <v>18</v>
      </c>
      <c r="E46" s="25" t="s">
        <v>66</v>
      </c>
      <c r="F46" s="25" t="s">
        <v>2751</v>
      </c>
      <c r="G46" s="25" t="s">
        <v>2773</v>
      </c>
      <c r="H46" s="25" t="s">
        <v>32</v>
      </c>
      <c r="I46" s="25" t="s">
        <v>2774</v>
      </c>
      <c r="J46" s="26" t="s">
        <v>2754</v>
      </c>
      <c r="K46" s="26" t="s">
        <v>2755</v>
      </c>
      <c r="L46" s="26">
        <v>123</v>
      </c>
      <c r="M46" s="26" t="s">
        <v>2756</v>
      </c>
    </row>
    <row r="47" spans="1:13" ht="33.6" customHeight="1" x14ac:dyDescent="0.3">
      <c r="A47" s="25" t="s">
        <v>31</v>
      </c>
      <c r="B47" s="25" t="s">
        <v>32</v>
      </c>
      <c r="C47" s="25" t="s">
        <v>17</v>
      </c>
      <c r="D47" s="25" t="s">
        <v>18</v>
      </c>
      <c r="E47" s="25" t="s">
        <v>66</v>
      </c>
      <c r="F47" s="25" t="s">
        <v>2751</v>
      </c>
      <c r="G47" s="25" t="s">
        <v>2775</v>
      </c>
      <c r="H47" s="25" t="s">
        <v>32</v>
      </c>
      <c r="I47" s="25" t="s">
        <v>2776</v>
      </c>
      <c r="J47" s="26" t="s">
        <v>2754</v>
      </c>
      <c r="K47" s="26" t="s">
        <v>2755</v>
      </c>
      <c r="L47" s="26">
        <v>123</v>
      </c>
      <c r="M47" s="26" t="s">
        <v>2756</v>
      </c>
    </row>
    <row r="48" spans="1:13" ht="33.6" customHeight="1" x14ac:dyDescent="0.3">
      <c r="A48" s="25" t="s">
        <v>31</v>
      </c>
      <c r="B48" s="25" t="s">
        <v>32</v>
      </c>
      <c r="C48" s="25" t="s">
        <v>17</v>
      </c>
      <c r="D48" s="25" t="s">
        <v>18</v>
      </c>
      <c r="E48" s="25" t="s">
        <v>66</v>
      </c>
      <c r="F48" s="25" t="s">
        <v>2751</v>
      </c>
      <c r="G48" s="25" t="s">
        <v>2752</v>
      </c>
      <c r="H48" s="25" t="s">
        <v>32</v>
      </c>
      <c r="I48" s="25" t="s">
        <v>2753</v>
      </c>
      <c r="J48" s="26" t="s">
        <v>2754</v>
      </c>
      <c r="K48" s="26" t="s">
        <v>2755</v>
      </c>
      <c r="L48" s="26">
        <v>123</v>
      </c>
      <c r="M48" s="26" t="s">
        <v>2756</v>
      </c>
    </row>
    <row r="49" spans="1:13" ht="33.6" customHeight="1" x14ac:dyDescent="0.3">
      <c r="A49" s="25" t="s">
        <v>31</v>
      </c>
      <c r="B49" s="25" t="s">
        <v>32</v>
      </c>
      <c r="C49" s="25" t="s">
        <v>17</v>
      </c>
      <c r="D49" s="25" t="s">
        <v>18</v>
      </c>
      <c r="E49" s="25" t="s">
        <v>127</v>
      </c>
      <c r="F49" s="25" t="s">
        <v>2757</v>
      </c>
      <c r="G49" s="25" t="s">
        <v>2758</v>
      </c>
      <c r="H49" s="25" t="s">
        <v>32</v>
      </c>
      <c r="I49" s="25" t="s">
        <v>2759</v>
      </c>
      <c r="J49" s="26" t="s">
        <v>2754</v>
      </c>
      <c r="K49" s="26" t="s">
        <v>2755</v>
      </c>
      <c r="L49" s="26">
        <v>127</v>
      </c>
      <c r="M49" s="26" t="s">
        <v>2756</v>
      </c>
    </row>
    <row r="50" spans="1:13" ht="33.6" customHeight="1" x14ac:dyDescent="0.3">
      <c r="A50" s="25" t="s">
        <v>38</v>
      </c>
      <c r="B50" s="25" t="s">
        <v>39</v>
      </c>
      <c r="C50" s="25" t="s">
        <v>17</v>
      </c>
      <c r="D50" s="25" t="s">
        <v>18</v>
      </c>
      <c r="E50" s="25" t="s">
        <v>66</v>
      </c>
      <c r="F50" s="25" t="s">
        <v>2751</v>
      </c>
      <c r="G50" s="25" t="s">
        <v>2794</v>
      </c>
      <c r="H50" s="25" t="s">
        <v>39</v>
      </c>
      <c r="I50" s="25" t="s">
        <v>2795</v>
      </c>
      <c r="J50" s="26" t="s">
        <v>2754</v>
      </c>
      <c r="K50" s="26" t="s">
        <v>2755</v>
      </c>
      <c r="L50" s="26">
        <v>123</v>
      </c>
      <c r="M50" s="26" t="s">
        <v>2756</v>
      </c>
    </row>
    <row r="51" spans="1:13" ht="33.6" customHeight="1" x14ac:dyDescent="0.3">
      <c r="A51" s="25" t="s">
        <v>38</v>
      </c>
      <c r="B51" s="25" t="s">
        <v>39</v>
      </c>
      <c r="C51" s="25" t="s">
        <v>17</v>
      </c>
      <c r="D51" s="25" t="s">
        <v>18</v>
      </c>
      <c r="E51" s="25" t="s">
        <v>66</v>
      </c>
      <c r="F51" s="25" t="s">
        <v>2751</v>
      </c>
      <c r="G51" s="25" t="s">
        <v>2773</v>
      </c>
      <c r="H51" s="25" t="s">
        <v>39</v>
      </c>
      <c r="I51" s="25" t="s">
        <v>2774</v>
      </c>
      <c r="J51" s="26" t="s">
        <v>2754</v>
      </c>
      <c r="K51" s="26" t="s">
        <v>2755</v>
      </c>
      <c r="L51" s="26">
        <v>123</v>
      </c>
      <c r="M51" s="26" t="s">
        <v>2756</v>
      </c>
    </row>
    <row r="52" spans="1:13" ht="33.6" customHeight="1" x14ac:dyDescent="0.3">
      <c r="A52" s="25" t="s">
        <v>38</v>
      </c>
      <c r="B52" s="25" t="s">
        <v>39</v>
      </c>
      <c r="C52" s="25" t="s">
        <v>17</v>
      </c>
      <c r="D52" s="25" t="s">
        <v>18</v>
      </c>
      <c r="E52" s="25" t="s">
        <v>66</v>
      </c>
      <c r="F52" s="25" t="s">
        <v>2751</v>
      </c>
      <c r="G52" s="25" t="s">
        <v>2775</v>
      </c>
      <c r="H52" s="25" t="s">
        <v>39</v>
      </c>
      <c r="I52" s="25" t="s">
        <v>2776</v>
      </c>
      <c r="J52" s="26" t="s">
        <v>2754</v>
      </c>
      <c r="K52" s="26" t="s">
        <v>2755</v>
      </c>
      <c r="L52" s="26">
        <v>123</v>
      </c>
      <c r="M52" s="26" t="s">
        <v>2756</v>
      </c>
    </row>
    <row r="53" spans="1:13" ht="33.6" customHeight="1" x14ac:dyDescent="0.3">
      <c r="A53" s="25" t="s">
        <v>38</v>
      </c>
      <c r="B53" s="25" t="s">
        <v>39</v>
      </c>
      <c r="C53" s="25" t="s">
        <v>17</v>
      </c>
      <c r="D53" s="25" t="s">
        <v>18</v>
      </c>
      <c r="E53" s="25" t="s">
        <v>127</v>
      </c>
      <c r="F53" s="25" t="s">
        <v>2757</v>
      </c>
      <c r="G53" s="25" t="s">
        <v>2796</v>
      </c>
      <c r="H53" s="25" t="s">
        <v>39</v>
      </c>
      <c r="I53" s="25" t="s">
        <v>2797</v>
      </c>
      <c r="J53" s="26" t="s">
        <v>2754</v>
      </c>
      <c r="K53" s="26" t="s">
        <v>2755</v>
      </c>
      <c r="L53" s="26">
        <v>127</v>
      </c>
      <c r="M53" s="26" t="s">
        <v>2756</v>
      </c>
    </row>
    <row r="54" spans="1:13" ht="33.6" customHeight="1" x14ac:dyDescent="0.3">
      <c r="A54" s="25" t="s">
        <v>53</v>
      </c>
      <c r="B54" s="25" t="s">
        <v>2798</v>
      </c>
      <c r="C54" s="25" t="s">
        <v>17</v>
      </c>
      <c r="D54" s="25" t="s">
        <v>18</v>
      </c>
      <c r="E54" s="25" t="s">
        <v>210</v>
      </c>
      <c r="F54" s="25" t="s">
        <v>2765</v>
      </c>
      <c r="G54" s="25" t="s">
        <v>2780</v>
      </c>
      <c r="H54" s="25" t="s">
        <v>2798</v>
      </c>
      <c r="I54" s="25" t="s">
        <v>2781</v>
      </c>
      <c r="J54" s="26" t="s">
        <v>2754</v>
      </c>
      <c r="K54" s="26" t="s">
        <v>2755</v>
      </c>
      <c r="L54" s="26">
        <v>38</v>
      </c>
      <c r="M54" s="26" t="s">
        <v>2756</v>
      </c>
    </row>
    <row r="55" spans="1:13" ht="33.6" customHeight="1" x14ac:dyDescent="0.3">
      <c r="A55" s="25" t="s">
        <v>53</v>
      </c>
      <c r="B55" s="25" t="s">
        <v>2798</v>
      </c>
      <c r="C55" s="25" t="s">
        <v>17</v>
      </c>
      <c r="D55" s="25" t="s">
        <v>18</v>
      </c>
      <c r="E55" s="25" t="s">
        <v>210</v>
      </c>
      <c r="F55" s="25" t="s">
        <v>2765</v>
      </c>
      <c r="G55" s="25" t="s">
        <v>2799</v>
      </c>
      <c r="H55" s="25" t="s">
        <v>2798</v>
      </c>
      <c r="I55" s="25" t="s">
        <v>2800</v>
      </c>
      <c r="J55" s="26" t="s">
        <v>2754</v>
      </c>
      <c r="K55" s="26" t="s">
        <v>2755</v>
      </c>
      <c r="L55" s="26">
        <v>38</v>
      </c>
      <c r="M55" s="26" t="s">
        <v>2756</v>
      </c>
    </row>
    <row r="56" spans="1:13" ht="33.6" customHeight="1" x14ac:dyDescent="0.3">
      <c r="A56" s="25" t="s">
        <v>53</v>
      </c>
      <c r="B56" s="25" t="s">
        <v>2798</v>
      </c>
      <c r="C56" s="25" t="s">
        <v>17</v>
      </c>
      <c r="D56" s="25" t="s">
        <v>18</v>
      </c>
      <c r="E56" s="25" t="s">
        <v>210</v>
      </c>
      <c r="F56" s="25" t="s">
        <v>2765</v>
      </c>
      <c r="G56" s="25" t="s">
        <v>2766</v>
      </c>
      <c r="H56" s="25" t="s">
        <v>2798</v>
      </c>
      <c r="I56" s="25" t="s">
        <v>2767</v>
      </c>
      <c r="J56" s="26" t="s">
        <v>2754</v>
      </c>
      <c r="K56" s="26" t="s">
        <v>2755</v>
      </c>
      <c r="L56" s="26">
        <v>38</v>
      </c>
      <c r="M56" s="26" t="s">
        <v>2756</v>
      </c>
    </row>
    <row r="57" spans="1:13" ht="33.6" customHeight="1" x14ac:dyDescent="0.3">
      <c r="A57" s="25" t="s">
        <v>53</v>
      </c>
      <c r="B57" s="25" t="s">
        <v>2798</v>
      </c>
      <c r="C57" s="25" t="s">
        <v>17</v>
      </c>
      <c r="D57" s="25" t="s">
        <v>18</v>
      </c>
      <c r="E57" s="25" t="s">
        <v>260</v>
      </c>
      <c r="F57" s="25" t="s">
        <v>2768</v>
      </c>
      <c r="G57" s="25" t="s">
        <v>2801</v>
      </c>
      <c r="H57" s="25" t="s">
        <v>2798</v>
      </c>
      <c r="I57" s="25" t="s">
        <v>2802</v>
      </c>
      <c r="J57" s="26" t="s">
        <v>2754</v>
      </c>
      <c r="K57" s="26" t="s">
        <v>2755</v>
      </c>
      <c r="L57" s="26">
        <v>75</v>
      </c>
      <c r="M57" s="26" t="s">
        <v>2756</v>
      </c>
    </row>
    <row r="58" spans="1:13" ht="33.6" customHeight="1" x14ac:dyDescent="0.3">
      <c r="A58" s="25" t="s">
        <v>53</v>
      </c>
      <c r="B58" s="25" t="s">
        <v>2798</v>
      </c>
      <c r="C58" s="25" t="s">
        <v>17</v>
      </c>
      <c r="D58" s="25" t="s">
        <v>18</v>
      </c>
      <c r="E58" s="25" t="s">
        <v>260</v>
      </c>
      <c r="F58" s="25" t="s">
        <v>2768</v>
      </c>
      <c r="G58" s="25" t="s">
        <v>2771</v>
      </c>
      <c r="H58" s="25" t="s">
        <v>2798</v>
      </c>
      <c r="I58" s="25" t="s">
        <v>2772</v>
      </c>
      <c r="J58" s="26" t="s">
        <v>2754</v>
      </c>
      <c r="K58" s="26" t="s">
        <v>2755</v>
      </c>
      <c r="L58" s="26">
        <v>75</v>
      </c>
      <c r="M58" s="26" t="s">
        <v>2756</v>
      </c>
    </row>
    <row r="59" spans="1:13" ht="33.6" customHeight="1" x14ac:dyDescent="0.3">
      <c r="A59" s="25" t="s">
        <v>53</v>
      </c>
      <c r="B59" s="25" t="s">
        <v>2798</v>
      </c>
      <c r="C59" s="25" t="s">
        <v>17</v>
      </c>
      <c r="D59" s="25" t="s">
        <v>18</v>
      </c>
      <c r="E59" s="25" t="s">
        <v>66</v>
      </c>
      <c r="F59" s="25" t="s">
        <v>2751</v>
      </c>
      <c r="G59" s="25" t="s">
        <v>2773</v>
      </c>
      <c r="H59" s="25" t="s">
        <v>2798</v>
      </c>
      <c r="I59" s="25" t="s">
        <v>2774</v>
      </c>
      <c r="J59" s="26" t="s">
        <v>2754</v>
      </c>
      <c r="K59" s="26" t="s">
        <v>2755</v>
      </c>
      <c r="L59" s="26">
        <v>123</v>
      </c>
      <c r="M59" s="26" t="s">
        <v>2756</v>
      </c>
    </row>
    <row r="60" spans="1:13" ht="33.6" customHeight="1" x14ac:dyDescent="0.3">
      <c r="A60" s="25" t="s">
        <v>53</v>
      </c>
      <c r="B60" s="25" t="s">
        <v>2798</v>
      </c>
      <c r="C60" s="25" t="s">
        <v>17</v>
      </c>
      <c r="D60" s="25" t="s">
        <v>18</v>
      </c>
      <c r="E60" s="25" t="s">
        <v>66</v>
      </c>
      <c r="F60" s="25" t="s">
        <v>2751</v>
      </c>
      <c r="G60" s="25" t="s">
        <v>2775</v>
      </c>
      <c r="H60" s="25" t="s">
        <v>2798</v>
      </c>
      <c r="I60" s="25" t="s">
        <v>2776</v>
      </c>
      <c r="J60" s="26" t="s">
        <v>2754</v>
      </c>
      <c r="K60" s="26" t="s">
        <v>2755</v>
      </c>
      <c r="L60" s="26">
        <v>123</v>
      </c>
      <c r="M60" s="26" t="s">
        <v>2756</v>
      </c>
    </row>
    <row r="61" spans="1:13" ht="33.6" customHeight="1" x14ac:dyDescent="0.3">
      <c r="A61" s="25" t="s">
        <v>53</v>
      </c>
      <c r="B61" s="25" t="s">
        <v>2798</v>
      </c>
      <c r="C61" s="25" t="s">
        <v>17</v>
      </c>
      <c r="D61" s="25" t="s">
        <v>18</v>
      </c>
      <c r="E61" s="25" t="s">
        <v>66</v>
      </c>
      <c r="F61" s="25" t="s">
        <v>2751</v>
      </c>
      <c r="G61" s="25" t="s">
        <v>2777</v>
      </c>
      <c r="H61" s="25" t="s">
        <v>2798</v>
      </c>
      <c r="I61" s="25" t="s">
        <v>2778</v>
      </c>
      <c r="J61" s="26" t="s">
        <v>2754</v>
      </c>
      <c r="K61" s="26" t="s">
        <v>2755</v>
      </c>
      <c r="L61" s="26">
        <v>123</v>
      </c>
      <c r="M61" s="26" t="s">
        <v>2756</v>
      </c>
    </row>
    <row r="62" spans="1:13" ht="33.6" customHeight="1" x14ac:dyDescent="0.3">
      <c r="A62" s="25" t="s">
        <v>53</v>
      </c>
      <c r="B62" s="25" t="s">
        <v>2798</v>
      </c>
      <c r="C62" s="25" t="s">
        <v>17</v>
      </c>
      <c r="D62" s="25" t="s">
        <v>18</v>
      </c>
      <c r="E62" s="25" t="s">
        <v>127</v>
      </c>
      <c r="F62" s="25" t="s">
        <v>2757</v>
      </c>
      <c r="G62" s="25" t="s">
        <v>2796</v>
      </c>
      <c r="H62" s="25" t="s">
        <v>2798</v>
      </c>
      <c r="I62" s="25" t="s">
        <v>2797</v>
      </c>
      <c r="J62" s="26" t="s">
        <v>2754</v>
      </c>
      <c r="K62" s="26" t="s">
        <v>2755</v>
      </c>
      <c r="L62" s="26">
        <v>127</v>
      </c>
      <c r="M62" s="26" t="s">
        <v>2756</v>
      </c>
    </row>
    <row r="63" spans="1:13" ht="33.6" customHeight="1" x14ac:dyDescent="0.3">
      <c r="A63" s="25" t="s">
        <v>53</v>
      </c>
      <c r="B63" s="25" t="s">
        <v>2798</v>
      </c>
      <c r="C63" s="25" t="s">
        <v>17</v>
      </c>
      <c r="D63" s="25" t="s">
        <v>18</v>
      </c>
      <c r="E63" s="25" t="s">
        <v>127</v>
      </c>
      <c r="F63" s="25" t="s">
        <v>2757</v>
      </c>
      <c r="G63" s="25" t="s">
        <v>2792</v>
      </c>
      <c r="H63" s="25" t="s">
        <v>2798</v>
      </c>
      <c r="I63" s="25" t="s">
        <v>2793</v>
      </c>
      <c r="J63" s="26" t="s">
        <v>2754</v>
      </c>
      <c r="K63" s="26" t="s">
        <v>2755</v>
      </c>
      <c r="L63" s="26">
        <v>127</v>
      </c>
      <c r="M63" s="26" t="s">
        <v>2756</v>
      </c>
    </row>
    <row r="64" spans="1:13" ht="33.6" customHeight="1" x14ac:dyDescent="0.3">
      <c r="A64" s="25" t="s">
        <v>53</v>
      </c>
      <c r="B64" s="25" t="s">
        <v>2798</v>
      </c>
      <c r="C64" s="25" t="s">
        <v>17</v>
      </c>
      <c r="D64" s="25" t="s">
        <v>18</v>
      </c>
      <c r="E64" s="25" t="s">
        <v>127</v>
      </c>
      <c r="F64" s="25" t="s">
        <v>2757</v>
      </c>
      <c r="G64" s="25" t="s">
        <v>2758</v>
      </c>
      <c r="H64" s="25" t="s">
        <v>2798</v>
      </c>
      <c r="I64" s="25" t="s">
        <v>2759</v>
      </c>
      <c r="J64" s="26" t="s">
        <v>2754</v>
      </c>
      <c r="K64" s="26" t="s">
        <v>2755</v>
      </c>
      <c r="L64" s="26">
        <v>127</v>
      </c>
      <c r="M64" s="26" t="s">
        <v>2756</v>
      </c>
    </row>
    <row r="65" spans="1:13" ht="33.6" customHeight="1" x14ac:dyDescent="0.3">
      <c r="A65" s="25" t="s">
        <v>53</v>
      </c>
      <c r="B65" s="25" t="s">
        <v>2798</v>
      </c>
      <c r="C65" s="25" t="s">
        <v>17</v>
      </c>
      <c r="D65" s="25" t="s">
        <v>18</v>
      </c>
      <c r="E65" s="25" t="s">
        <v>885</v>
      </c>
      <c r="F65" s="25" t="s">
        <v>2762</v>
      </c>
      <c r="G65" s="25" t="s">
        <v>2803</v>
      </c>
      <c r="H65" s="25" t="s">
        <v>2798</v>
      </c>
      <c r="I65" s="25" t="s">
        <v>2804</v>
      </c>
      <c r="J65" s="26" t="s">
        <v>2754</v>
      </c>
      <c r="K65" s="26" t="s">
        <v>2755</v>
      </c>
      <c r="L65" s="26">
        <v>14</v>
      </c>
      <c r="M65" s="26" t="s">
        <v>2756</v>
      </c>
    </row>
    <row r="66" spans="1:13" ht="33.6" customHeight="1" x14ac:dyDescent="0.3">
      <c r="A66" s="25" t="s">
        <v>67</v>
      </c>
      <c r="B66" s="25" t="s">
        <v>2805</v>
      </c>
      <c r="C66" s="25" t="s">
        <v>17</v>
      </c>
      <c r="D66" s="25" t="s">
        <v>18</v>
      </c>
      <c r="E66" s="25" t="s">
        <v>260</v>
      </c>
      <c r="F66" s="25" t="s">
        <v>2768</v>
      </c>
      <c r="G66" s="25" t="s">
        <v>2769</v>
      </c>
      <c r="H66" s="25" t="s">
        <v>2805</v>
      </c>
      <c r="I66" s="25" t="s">
        <v>2770</v>
      </c>
      <c r="J66" s="26" t="s">
        <v>2754</v>
      </c>
      <c r="K66" s="26" t="s">
        <v>2755</v>
      </c>
      <c r="L66" s="26">
        <v>75</v>
      </c>
      <c r="M66" s="26" t="s">
        <v>2756</v>
      </c>
    </row>
    <row r="67" spans="1:13" ht="33.6" customHeight="1" x14ac:dyDescent="0.3">
      <c r="A67" s="25" t="s">
        <v>67</v>
      </c>
      <c r="B67" s="25" t="s">
        <v>2805</v>
      </c>
      <c r="C67" s="25" t="s">
        <v>17</v>
      </c>
      <c r="D67" s="25" t="s">
        <v>18</v>
      </c>
      <c r="E67" s="25" t="s">
        <v>66</v>
      </c>
      <c r="F67" s="25" t="s">
        <v>2751</v>
      </c>
      <c r="G67" s="25" t="s">
        <v>2775</v>
      </c>
      <c r="H67" s="25" t="s">
        <v>2805</v>
      </c>
      <c r="I67" s="25" t="s">
        <v>2806</v>
      </c>
      <c r="J67" s="26" t="s">
        <v>2754</v>
      </c>
      <c r="K67" s="26" t="s">
        <v>2755</v>
      </c>
      <c r="L67" s="26">
        <v>123</v>
      </c>
      <c r="M67" s="26" t="s">
        <v>2756</v>
      </c>
    </row>
    <row r="68" spans="1:13" ht="33.6" customHeight="1" x14ac:dyDescent="0.3">
      <c r="A68" s="25" t="s">
        <v>67</v>
      </c>
      <c r="B68" s="25" t="s">
        <v>2805</v>
      </c>
      <c r="C68" s="25" t="s">
        <v>17</v>
      </c>
      <c r="D68" s="25" t="s">
        <v>18</v>
      </c>
      <c r="E68" s="25" t="s">
        <v>127</v>
      </c>
      <c r="F68" s="25" t="s">
        <v>2757</v>
      </c>
      <c r="G68" s="25" t="s">
        <v>2758</v>
      </c>
      <c r="H68" s="25" t="s">
        <v>2805</v>
      </c>
      <c r="I68" s="25" t="s">
        <v>2779</v>
      </c>
      <c r="J68" s="26" t="s">
        <v>2754</v>
      </c>
      <c r="K68" s="26" t="s">
        <v>2755</v>
      </c>
      <c r="L68" s="26">
        <v>127</v>
      </c>
      <c r="M68" s="26" t="s">
        <v>2756</v>
      </c>
    </row>
    <row r="69" spans="1:13" ht="33.6" customHeight="1" x14ac:dyDescent="0.3">
      <c r="A69" s="25" t="s">
        <v>82</v>
      </c>
      <c r="B69" s="25" t="s">
        <v>2807</v>
      </c>
      <c r="C69" s="25" t="s">
        <v>17</v>
      </c>
      <c r="D69" s="25" t="s">
        <v>18</v>
      </c>
      <c r="E69" s="25" t="s">
        <v>260</v>
      </c>
      <c r="F69" s="25" t="s">
        <v>2768</v>
      </c>
      <c r="G69" s="25" t="s">
        <v>2788</v>
      </c>
      <c r="H69" s="25" t="s">
        <v>2807</v>
      </c>
      <c r="I69" s="25" t="s">
        <v>2789</v>
      </c>
      <c r="J69" s="26" t="s">
        <v>2754</v>
      </c>
      <c r="K69" s="26" t="s">
        <v>2755</v>
      </c>
      <c r="L69" s="26">
        <v>75</v>
      </c>
      <c r="M69" s="26" t="s">
        <v>2756</v>
      </c>
    </row>
    <row r="70" spans="1:13" ht="33.6" customHeight="1" x14ac:dyDescent="0.3">
      <c r="A70" s="25" t="s">
        <v>82</v>
      </c>
      <c r="B70" s="25" t="s">
        <v>2807</v>
      </c>
      <c r="C70" s="25" t="s">
        <v>17</v>
      </c>
      <c r="D70" s="25" t="s">
        <v>18</v>
      </c>
      <c r="E70" s="25" t="s">
        <v>260</v>
      </c>
      <c r="F70" s="25" t="s">
        <v>2768</v>
      </c>
      <c r="G70" s="25" t="s">
        <v>2771</v>
      </c>
      <c r="H70" s="25" t="s">
        <v>2807</v>
      </c>
      <c r="I70" s="25" t="s">
        <v>2772</v>
      </c>
      <c r="J70" s="26" t="s">
        <v>2754</v>
      </c>
      <c r="K70" s="26" t="s">
        <v>2755</v>
      </c>
      <c r="L70" s="26">
        <v>75</v>
      </c>
      <c r="M70" s="26" t="s">
        <v>2756</v>
      </c>
    </row>
    <row r="71" spans="1:13" ht="33.6" customHeight="1" x14ac:dyDescent="0.3">
      <c r="A71" s="25" t="s">
        <v>82</v>
      </c>
      <c r="B71" s="25" t="s">
        <v>2807</v>
      </c>
      <c r="C71" s="25" t="s">
        <v>17</v>
      </c>
      <c r="D71" s="25" t="s">
        <v>18</v>
      </c>
      <c r="E71" s="25" t="s">
        <v>66</v>
      </c>
      <c r="F71" s="25" t="s">
        <v>2751</v>
      </c>
      <c r="G71" s="25" t="s">
        <v>2777</v>
      </c>
      <c r="H71" s="25" t="s">
        <v>2807</v>
      </c>
      <c r="I71" s="25" t="s">
        <v>2778</v>
      </c>
      <c r="J71" s="26" t="s">
        <v>2754</v>
      </c>
      <c r="K71" s="26" t="s">
        <v>2755</v>
      </c>
      <c r="L71" s="26">
        <v>123</v>
      </c>
      <c r="M71" s="26" t="s">
        <v>2756</v>
      </c>
    </row>
    <row r="72" spans="1:13" ht="33.6" customHeight="1" x14ac:dyDescent="0.3">
      <c r="A72" s="25" t="s">
        <v>82</v>
      </c>
      <c r="B72" s="25" t="s">
        <v>2807</v>
      </c>
      <c r="C72" s="25" t="s">
        <v>17</v>
      </c>
      <c r="D72" s="25" t="s">
        <v>18</v>
      </c>
      <c r="E72" s="25" t="s">
        <v>127</v>
      </c>
      <c r="F72" s="25" t="s">
        <v>2757</v>
      </c>
      <c r="G72" s="25" t="s">
        <v>2758</v>
      </c>
      <c r="H72" s="25" t="s">
        <v>2807</v>
      </c>
      <c r="I72" s="25" t="s">
        <v>2759</v>
      </c>
      <c r="J72" s="26" t="s">
        <v>2754</v>
      </c>
      <c r="K72" s="26" t="s">
        <v>2755</v>
      </c>
      <c r="L72" s="26">
        <v>127</v>
      </c>
      <c r="M72" s="26" t="s">
        <v>2756</v>
      </c>
    </row>
    <row r="73" spans="1:13" ht="33.6" customHeight="1" x14ac:dyDescent="0.3">
      <c r="A73" s="25" t="s">
        <v>95</v>
      </c>
      <c r="B73" s="25" t="s">
        <v>2808</v>
      </c>
      <c r="C73" s="25" t="s">
        <v>17</v>
      </c>
      <c r="D73" s="25" t="s">
        <v>18</v>
      </c>
      <c r="E73" s="25" t="s">
        <v>210</v>
      </c>
      <c r="F73" s="25" t="s">
        <v>2765</v>
      </c>
      <c r="G73" s="25" t="s">
        <v>2780</v>
      </c>
      <c r="H73" s="25" t="s">
        <v>2808</v>
      </c>
      <c r="I73" s="25" t="s">
        <v>2781</v>
      </c>
      <c r="J73" s="26" t="s">
        <v>2754</v>
      </c>
      <c r="K73" s="26" t="s">
        <v>2755</v>
      </c>
      <c r="L73" s="26">
        <v>38</v>
      </c>
      <c r="M73" s="26" t="s">
        <v>2756</v>
      </c>
    </row>
    <row r="74" spans="1:13" ht="33.6" customHeight="1" x14ac:dyDescent="0.3">
      <c r="A74" s="25" t="s">
        <v>95</v>
      </c>
      <c r="B74" s="25" t="s">
        <v>2808</v>
      </c>
      <c r="C74" s="25" t="s">
        <v>17</v>
      </c>
      <c r="D74" s="25" t="s">
        <v>18</v>
      </c>
      <c r="E74" s="25" t="s">
        <v>51</v>
      </c>
      <c r="F74" s="25" t="s">
        <v>2809</v>
      </c>
      <c r="G74" s="25" t="s">
        <v>2810</v>
      </c>
      <c r="H74" s="25" t="s">
        <v>2808</v>
      </c>
      <c r="I74" s="25" t="s">
        <v>2811</v>
      </c>
      <c r="J74" s="26" t="s">
        <v>2754</v>
      </c>
      <c r="K74" s="26" t="s">
        <v>2755</v>
      </c>
      <c r="L74" s="26">
        <v>21</v>
      </c>
      <c r="M74" s="26" t="s">
        <v>2756</v>
      </c>
    </row>
    <row r="75" spans="1:13" ht="33.6" customHeight="1" x14ac:dyDescent="0.3">
      <c r="A75" s="25" t="s">
        <v>95</v>
      </c>
      <c r="B75" s="25" t="s">
        <v>2808</v>
      </c>
      <c r="C75" s="25" t="s">
        <v>17</v>
      </c>
      <c r="D75" s="25" t="s">
        <v>18</v>
      </c>
      <c r="E75" s="25" t="s">
        <v>66</v>
      </c>
      <c r="F75" s="25" t="s">
        <v>2751</v>
      </c>
      <c r="G75" s="25" t="s">
        <v>2773</v>
      </c>
      <c r="H75" s="25" t="s">
        <v>2808</v>
      </c>
      <c r="I75" s="25" t="s">
        <v>2774</v>
      </c>
      <c r="J75" s="26" t="s">
        <v>2754</v>
      </c>
      <c r="K75" s="26" t="s">
        <v>2755</v>
      </c>
      <c r="L75" s="26">
        <v>123</v>
      </c>
      <c r="M75" s="26" t="s">
        <v>2756</v>
      </c>
    </row>
    <row r="76" spans="1:13" ht="33.6" customHeight="1" x14ac:dyDescent="0.3">
      <c r="A76" s="25" t="s">
        <v>95</v>
      </c>
      <c r="B76" s="25" t="s">
        <v>2808</v>
      </c>
      <c r="C76" s="25" t="s">
        <v>17</v>
      </c>
      <c r="D76" s="25" t="s">
        <v>18</v>
      </c>
      <c r="E76" s="25" t="s">
        <v>66</v>
      </c>
      <c r="F76" s="25" t="s">
        <v>2751</v>
      </c>
      <c r="G76" s="25" t="s">
        <v>2775</v>
      </c>
      <c r="H76" s="25" t="s">
        <v>2808</v>
      </c>
      <c r="I76" s="25" t="s">
        <v>2776</v>
      </c>
      <c r="J76" s="26" t="s">
        <v>2754</v>
      </c>
      <c r="K76" s="26" t="s">
        <v>2755</v>
      </c>
      <c r="L76" s="26">
        <v>123</v>
      </c>
      <c r="M76" s="26" t="s">
        <v>2756</v>
      </c>
    </row>
    <row r="77" spans="1:13" ht="33.6" customHeight="1" x14ac:dyDescent="0.3">
      <c r="A77" s="25" t="s">
        <v>95</v>
      </c>
      <c r="B77" s="25" t="s">
        <v>2808</v>
      </c>
      <c r="C77" s="25" t="s">
        <v>17</v>
      </c>
      <c r="D77" s="25" t="s">
        <v>18</v>
      </c>
      <c r="E77" s="25" t="s">
        <v>127</v>
      </c>
      <c r="F77" s="25" t="s">
        <v>2757</v>
      </c>
      <c r="G77" s="25" t="s">
        <v>2812</v>
      </c>
      <c r="H77" s="25" t="s">
        <v>2808</v>
      </c>
      <c r="I77" s="25" t="s">
        <v>2813</v>
      </c>
      <c r="J77" s="26" t="s">
        <v>2754</v>
      </c>
      <c r="K77" s="26" t="s">
        <v>2755</v>
      </c>
      <c r="L77" s="26">
        <v>127</v>
      </c>
      <c r="M77" s="26" t="s">
        <v>2756</v>
      </c>
    </row>
    <row r="78" spans="1:13" ht="33.6" customHeight="1" x14ac:dyDescent="0.3">
      <c r="A78" s="25" t="s">
        <v>102</v>
      </c>
      <c r="B78" s="25" t="s">
        <v>2814</v>
      </c>
      <c r="C78" s="25" t="s">
        <v>17</v>
      </c>
      <c r="D78" s="25" t="s">
        <v>18</v>
      </c>
      <c r="E78" s="25" t="s">
        <v>260</v>
      </c>
      <c r="F78" s="25" t="s">
        <v>2768</v>
      </c>
      <c r="G78" s="25" t="s">
        <v>2769</v>
      </c>
      <c r="H78" s="25" t="s">
        <v>2814</v>
      </c>
      <c r="I78" s="25" t="s">
        <v>2815</v>
      </c>
      <c r="J78" s="26" t="s">
        <v>2754</v>
      </c>
      <c r="K78" s="26" t="s">
        <v>2755</v>
      </c>
      <c r="L78" s="26">
        <v>75</v>
      </c>
      <c r="M78" s="26" t="s">
        <v>2756</v>
      </c>
    </row>
    <row r="79" spans="1:13" ht="33.6" customHeight="1" x14ac:dyDescent="0.3">
      <c r="A79" s="25" t="s">
        <v>102</v>
      </c>
      <c r="B79" s="25" t="s">
        <v>2814</v>
      </c>
      <c r="C79" s="25" t="s">
        <v>17</v>
      </c>
      <c r="D79" s="25" t="s">
        <v>18</v>
      </c>
      <c r="E79" s="25" t="s">
        <v>66</v>
      </c>
      <c r="F79" s="25" t="s">
        <v>2751</v>
      </c>
      <c r="G79" s="25" t="s">
        <v>2773</v>
      </c>
      <c r="H79" s="25" t="s">
        <v>2814</v>
      </c>
      <c r="I79" s="25" t="s">
        <v>2774</v>
      </c>
      <c r="J79" s="26" t="s">
        <v>2754</v>
      </c>
      <c r="K79" s="26" t="s">
        <v>2755</v>
      </c>
      <c r="L79" s="26">
        <v>123</v>
      </c>
      <c r="M79" s="26" t="s">
        <v>2756</v>
      </c>
    </row>
    <row r="80" spans="1:13" ht="33.6" customHeight="1" x14ac:dyDescent="0.3">
      <c r="A80" s="25" t="s">
        <v>102</v>
      </c>
      <c r="B80" s="25" t="s">
        <v>2814</v>
      </c>
      <c r="C80" s="25" t="s">
        <v>17</v>
      </c>
      <c r="D80" s="25" t="s">
        <v>18</v>
      </c>
      <c r="E80" s="25" t="s">
        <v>127</v>
      </c>
      <c r="F80" s="25" t="s">
        <v>2757</v>
      </c>
      <c r="G80" s="25" t="s">
        <v>2758</v>
      </c>
      <c r="H80" s="25" t="s">
        <v>2814</v>
      </c>
      <c r="I80" s="25" t="s">
        <v>2779</v>
      </c>
      <c r="J80" s="26" t="s">
        <v>2754</v>
      </c>
      <c r="K80" s="26" t="s">
        <v>2755</v>
      </c>
      <c r="L80" s="26">
        <v>127</v>
      </c>
      <c r="M80" s="26" t="s">
        <v>2756</v>
      </c>
    </row>
    <row r="81" spans="1:13" ht="33.6" customHeight="1" x14ac:dyDescent="0.3">
      <c r="A81" s="25" t="s">
        <v>102</v>
      </c>
      <c r="B81" s="25" t="s">
        <v>2814</v>
      </c>
      <c r="C81" s="25" t="s">
        <v>17</v>
      </c>
      <c r="D81" s="25" t="s">
        <v>18</v>
      </c>
      <c r="E81" s="25" t="s">
        <v>885</v>
      </c>
      <c r="F81" s="25" t="s">
        <v>2762</v>
      </c>
      <c r="G81" s="25" t="s">
        <v>2763</v>
      </c>
      <c r="H81" s="25" t="s">
        <v>2814</v>
      </c>
      <c r="I81" s="25" t="s">
        <v>2816</v>
      </c>
      <c r="J81" s="26" t="s">
        <v>2754</v>
      </c>
      <c r="K81" s="26" t="s">
        <v>2755</v>
      </c>
      <c r="L81" s="26">
        <v>14</v>
      </c>
      <c r="M81" s="26" t="s">
        <v>2756</v>
      </c>
    </row>
    <row r="82" spans="1:13" ht="33.6" customHeight="1" x14ac:dyDescent="0.3">
      <c r="A82" s="25" t="s">
        <v>114</v>
      </c>
      <c r="B82" s="25" t="s">
        <v>2817</v>
      </c>
      <c r="C82" s="25" t="s">
        <v>17</v>
      </c>
      <c r="D82" s="25" t="s">
        <v>18</v>
      </c>
      <c r="E82" s="25" t="s">
        <v>210</v>
      </c>
      <c r="F82" s="25" t="s">
        <v>2765</v>
      </c>
      <c r="G82" s="25" t="s">
        <v>2818</v>
      </c>
      <c r="H82" s="25" t="s">
        <v>2817</v>
      </c>
      <c r="I82" s="25" t="s">
        <v>2819</v>
      </c>
      <c r="J82" s="26" t="s">
        <v>2754</v>
      </c>
      <c r="K82" s="26" t="s">
        <v>2755</v>
      </c>
      <c r="L82" s="26">
        <v>38</v>
      </c>
      <c r="M82" s="26" t="s">
        <v>2756</v>
      </c>
    </row>
    <row r="83" spans="1:13" ht="33.6" customHeight="1" x14ac:dyDescent="0.3">
      <c r="A83" s="25" t="s">
        <v>114</v>
      </c>
      <c r="B83" s="25" t="s">
        <v>2817</v>
      </c>
      <c r="C83" s="25" t="s">
        <v>17</v>
      </c>
      <c r="D83" s="25" t="s">
        <v>18</v>
      </c>
      <c r="E83" s="25" t="s">
        <v>66</v>
      </c>
      <c r="F83" s="25" t="s">
        <v>2751</v>
      </c>
      <c r="G83" s="25" t="s">
        <v>2773</v>
      </c>
      <c r="H83" s="25" t="s">
        <v>2817</v>
      </c>
      <c r="I83" s="25" t="s">
        <v>2774</v>
      </c>
      <c r="J83" s="26" t="s">
        <v>2754</v>
      </c>
      <c r="K83" s="26" t="s">
        <v>2755</v>
      </c>
      <c r="L83" s="26">
        <v>123</v>
      </c>
      <c r="M83" s="26" t="s">
        <v>2756</v>
      </c>
    </row>
    <row r="84" spans="1:13" ht="33.6" customHeight="1" x14ac:dyDescent="0.3">
      <c r="A84" s="25" t="s">
        <v>114</v>
      </c>
      <c r="B84" s="25" t="s">
        <v>2817</v>
      </c>
      <c r="C84" s="25" t="s">
        <v>17</v>
      </c>
      <c r="D84" s="25" t="s">
        <v>18</v>
      </c>
      <c r="E84" s="25" t="s">
        <v>66</v>
      </c>
      <c r="F84" s="25" t="s">
        <v>2751</v>
      </c>
      <c r="G84" s="25" t="s">
        <v>2775</v>
      </c>
      <c r="H84" s="25" t="s">
        <v>2817</v>
      </c>
      <c r="I84" s="25" t="s">
        <v>2776</v>
      </c>
      <c r="J84" s="26" t="s">
        <v>2754</v>
      </c>
      <c r="K84" s="26" t="s">
        <v>2755</v>
      </c>
      <c r="L84" s="26">
        <v>123</v>
      </c>
      <c r="M84" s="26" t="s">
        <v>2756</v>
      </c>
    </row>
    <row r="85" spans="1:13" ht="33.6" customHeight="1" x14ac:dyDescent="0.3">
      <c r="A85" s="25" t="s">
        <v>114</v>
      </c>
      <c r="B85" s="25" t="s">
        <v>2817</v>
      </c>
      <c r="C85" s="25" t="s">
        <v>17</v>
      </c>
      <c r="D85" s="25" t="s">
        <v>18</v>
      </c>
      <c r="E85" s="25" t="s">
        <v>127</v>
      </c>
      <c r="F85" s="25" t="s">
        <v>2757</v>
      </c>
      <c r="G85" s="25" t="s">
        <v>2758</v>
      </c>
      <c r="H85" s="25" t="s">
        <v>2817</v>
      </c>
      <c r="I85" s="25" t="s">
        <v>2779</v>
      </c>
      <c r="J85" s="26" t="s">
        <v>2754</v>
      </c>
      <c r="K85" s="26" t="s">
        <v>2755</v>
      </c>
      <c r="L85" s="26">
        <v>127</v>
      </c>
      <c r="M85" s="26" t="s">
        <v>2756</v>
      </c>
    </row>
    <row r="86" spans="1:13" ht="33.6" customHeight="1" x14ac:dyDescent="0.3">
      <c r="A86" s="25" t="s">
        <v>135</v>
      </c>
      <c r="B86" s="25" t="s">
        <v>136</v>
      </c>
      <c r="C86" s="25" t="s">
        <v>17</v>
      </c>
      <c r="D86" s="25" t="s">
        <v>18</v>
      </c>
      <c r="E86" s="25" t="s">
        <v>260</v>
      </c>
      <c r="F86" s="25" t="s">
        <v>2768</v>
      </c>
      <c r="G86" s="25" t="s">
        <v>2769</v>
      </c>
      <c r="H86" s="25" t="s">
        <v>136</v>
      </c>
      <c r="I86" s="25" t="s">
        <v>2815</v>
      </c>
      <c r="J86" s="26" t="s">
        <v>2754</v>
      </c>
      <c r="K86" s="26" t="s">
        <v>2755</v>
      </c>
      <c r="L86" s="26">
        <v>75</v>
      </c>
      <c r="M86" s="26" t="s">
        <v>2756</v>
      </c>
    </row>
    <row r="87" spans="1:13" ht="33.6" customHeight="1" x14ac:dyDescent="0.3">
      <c r="A87" s="25" t="s">
        <v>135</v>
      </c>
      <c r="B87" s="25" t="s">
        <v>136</v>
      </c>
      <c r="C87" s="25" t="s">
        <v>17</v>
      </c>
      <c r="D87" s="25" t="s">
        <v>18</v>
      </c>
      <c r="E87" s="25" t="s">
        <v>127</v>
      </c>
      <c r="F87" s="25" t="s">
        <v>2757</v>
      </c>
      <c r="G87" s="25" t="s">
        <v>2796</v>
      </c>
      <c r="H87" s="25" t="s">
        <v>136</v>
      </c>
      <c r="I87" s="25" t="s">
        <v>2797</v>
      </c>
      <c r="J87" s="26" t="s">
        <v>2754</v>
      </c>
      <c r="K87" s="26" t="s">
        <v>2755</v>
      </c>
      <c r="L87" s="26">
        <v>127</v>
      </c>
      <c r="M87" s="26" t="s">
        <v>2756</v>
      </c>
    </row>
    <row r="88" spans="1:13" ht="33.6" customHeight="1" x14ac:dyDescent="0.3">
      <c r="A88" s="25" t="s">
        <v>142</v>
      </c>
      <c r="B88" s="25" t="s">
        <v>2820</v>
      </c>
      <c r="C88" s="25" t="s">
        <v>17</v>
      </c>
      <c r="D88" s="25" t="s">
        <v>18</v>
      </c>
      <c r="E88" s="25" t="s">
        <v>260</v>
      </c>
      <c r="F88" s="25" t="s">
        <v>2768</v>
      </c>
      <c r="G88" s="25" t="s">
        <v>2769</v>
      </c>
      <c r="H88" s="25" t="s">
        <v>2820</v>
      </c>
      <c r="I88" s="25" t="s">
        <v>2770</v>
      </c>
      <c r="J88" s="26" t="s">
        <v>2754</v>
      </c>
      <c r="K88" s="26" t="s">
        <v>2755</v>
      </c>
      <c r="L88" s="26">
        <v>75</v>
      </c>
      <c r="M88" s="26" t="s">
        <v>2756</v>
      </c>
    </row>
    <row r="89" spans="1:13" ht="33.6" customHeight="1" x14ac:dyDescent="0.3">
      <c r="A89" s="25" t="s">
        <v>142</v>
      </c>
      <c r="B89" s="25" t="s">
        <v>2820</v>
      </c>
      <c r="C89" s="25" t="s">
        <v>17</v>
      </c>
      <c r="D89" s="25" t="s">
        <v>18</v>
      </c>
      <c r="E89" s="25" t="s">
        <v>66</v>
      </c>
      <c r="F89" s="25" t="s">
        <v>2751</v>
      </c>
      <c r="G89" s="25" t="s">
        <v>2773</v>
      </c>
      <c r="H89" s="25" t="s">
        <v>2820</v>
      </c>
      <c r="I89" s="25" t="s">
        <v>2774</v>
      </c>
      <c r="J89" s="26" t="s">
        <v>2754</v>
      </c>
      <c r="K89" s="26" t="s">
        <v>2755</v>
      </c>
      <c r="L89" s="26">
        <v>123</v>
      </c>
      <c r="M89" s="26" t="s">
        <v>2756</v>
      </c>
    </row>
    <row r="90" spans="1:13" ht="33.6" customHeight="1" x14ac:dyDescent="0.3">
      <c r="A90" s="25" t="s">
        <v>142</v>
      </c>
      <c r="B90" s="25" t="s">
        <v>2820</v>
      </c>
      <c r="C90" s="25" t="s">
        <v>17</v>
      </c>
      <c r="D90" s="25" t="s">
        <v>18</v>
      </c>
      <c r="E90" s="25" t="s">
        <v>66</v>
      </c>
      <c r="F90" s="25" t="s">
        <v>2751</v>
      </c>
      <c r="G90" s="25" t="s">
        <v>2775</v>
      </c>
      <c r="H90" s="25" t="s">
        <v>2820</v>
      </c>
      <c r="I90" s="25" t="s">
        <v>2776</v>
      </c>
      <c r="J90" s="26" t="s">
        <v>2754</v>
      </c>
      <c r="K90" s="26" t="s">
        <v>2755</v>
      </c>
      <c r="L90" s="26">
        <v>123</v>
      </c>
      <c r="M90" s="26" t="s">
        <v>2756</v>
      </c>
    </row>
    <row r="91" spans="1:13" ht="33.6" customHeight="1" x14ac:dyDescent="0.3">
      <c r="A91" s="25" t="s">
        <v>142</v>
      </c>
      <c r="B91" s="25" t="s">
        <v>2820</v>
      </c>
      <c r="C91" s="25" t="s">
        <v>17</v>
      </c>
      <c r="D91" s="25" t="s">
        <v>18</v>
      </c>
      <c r="E91" s="25" t="s">
        <v>127</v>
      </c>
      <c r="F91" s="25" t="s">
        <v>2757</v>
      </c>
      <c r="G91" s="25" t="s">
        <v>2760</v>
      </c>
      <c r="H91" s="25" t="s">
        <v>2820</v>
      </c>
      <c r="I91" s="25" t="s">
        <v>2761</v>
      </c>
      <c r="J91" s="26" t="s">
        <v>2754</v>
      </c>
      <c r="K91" s="26" t="s">
        <v>2755</v>
      </c>
      <c r="L91" s="26">
        <v>127</v>
      </c>
      <c r="M91" s="26" t="s">
        <v>2756</v>
      </c>
    </row>
    <row r="92" spans="1:13" ht="33.6" customHeight="1" x14ac:dyDescent="0.3">
      <c r="A92" s="25" t="s">
        <v>162</v>
      </c>
      <c r="B92" s="25" t="s">
        <v>2821</v>
      </c>
      <c r="C92" s="25" t="s">
        <v>17</v>
      </c>
      <c r="D92" s="25" t="s">
        <v>18</v>
      </c>
      <c r="E92" s="25" t="s">
        <v>210</v>
      </c>
      <c r="F92" s="25" t="s">
        <v>2765</v>
      </c>
      <c r="G92" s="25" t="s">
        <v>2818</v>
      </c>
      <c r="H92" s="25" t="s">
        <v>2821</v>
      </c>
      <c r="I92" s="25" t="s">
        <v>2822</v>
      </c>
      <c r="J92" s="26" t="s">
        <v>2754</v>
      </c>
      <c r="K92" s="26" t="s">
        <v>2755</v>
      </c>
      <c r="L92" s="26">
        <v>38</v>
      </c>
      <c r="M92" s="26" t="s">
        <v>2756</v>
      </c>
    </row>
    <row r="93" spans="1:13" ht="33.6" customHeight="1" x14ac:dyDescent="0.3">
      <c r="A93" s="25" t="s">
        <v>162</v>
      </c>
      <c r="B93" s="25" t="s">
        <v>2821</v>
      </c>
      <c r="C93" s="25" t="s">
        <v>17</v>
      </c>
      <c r="D93" s="25" t="s">
        <v>18</v>
      </c>
      <c r="E93" s="25" t="s">
        <v>66</v>
      </c>
      <c r="F93" s="25" t="s">
        <v>2751</v>
      </c>
      <c r="G93" s="25" t="s">
        <v>2775</v>
      </c>
      <c r="H93" s="25" t="s">
        <v>2821</v>
      </c>
      <c r="I93" s="25" t="s">
        <v>2806</v>
      </c>
      <c r="J93" s="26" t="s">
        <v>2754</v>
      </c>
      <c r="K93" s="26" t="s">
        <v>2755</v>
      </c>
      <c r="L93" s="26">
        <v>123</v>
      </c>
      <c r="M93" s="26" t="s">
        <v>2756</v>
      </c>
    </row>
    <row r="94" spans="1:13" ht="33.6" customHeight="1" x14ac:dyDescent="0.3">
      <c r="A94" s="25" t="s">
        <v>162</v>
      </c>
      <c r="B94" s="25" t="s">
        <v>2821</v>
      </c>
      <c r="C94" s="25" t="s">
        <v>17</v>
      </c>
      <c r="D94" s="25" t="s">
        <v>18</v>
      </c>
      <c r="E94" s="25" t="s">
        <v>127</v>
      </c>
      <c r="F94" s="25" t="s">
        <v>2757</v>
      </c>
      <c r="G94" s="25" t="s">
        <v>2758</v>
      </c>
      <c r="H94" s="25" t="s">
        <v>2821</v>
      </c>
      <c r="I94" s="25" t="s">
        <v>2779</v>
      </c>
      <c r="J94" s="26" t="s">
        <v>2754</v>
      </c>
      <c r="K94" s="26" t="s">
        <v>2755</v>
      </c>
      <c r="L94" s="26">
        <v>127</v>
      </c>
      <c r="M94" s="26" t="s">
        <v>2756</v>
      </c>
    </row>
    <row r="95" spans="1:13" ht="33.6" customHeight="1" x14ac:dyDescent="0.3">
      <c r="A95" s="25" t="s">
        <v>168</v>
      </c>
      <c r="B95" s="25" t="s">
        <v>2823</v>
      </c>
      <c r="C95" s="25" t="s">
        <v>17</v>
      </c>
      <c r="D95" s="25" t="s">
        <v>18</v>
      </c>
      <c r="E95" s="25" t="s">
        <v>66</v>
      </c>
      <c r="F95" s="25" t="s">
        <v>2751</v>
      </c>
      <c r="G95" s="25" t="s">
        <v>2773</v>
      </c>
      <c r="H95" s="25" t="s">
        <v>2823</v>
      </c>
      <c r="I95" s="25" t="s">
        <v>2774</v>
      </c>
      <c r="J95" s="26" t="s">
        <v>2754</v>
      </c>
      <c r="K95" s="26" t="s">
        <v>2755</v>
      </c>
      <c r="L95" s="26">
        <v>123</v>
      </c>
      <c r="M95" s="26" t="s">
        <v>2756</v>
      </c>
    </row>
    <row r="96" spans="1:13" ht="33.6" customHeight="1" x14ac:dyDescent="0.3">
      <c r="A96" s="25" t="s">
        <v>168</v>
      </c>
      <c r="B96" s="25" t="s">
        <v>2823</v>
      </c>
      <c r="C96" s="25" t="s">
        <v>17</v>
      </c>
      <c r="D96" s="25" t="s">
        <v>18</v>
      </c>
      <c r="E96" s="25" t="s">
        <v>66</v>
      </c>
      <c r="F96" s="25" t="s">
        <v>2751</v>
      </c>
      <c r="G96" s="25" t="s">
        <v>2775</v>
      </c>
      <c r="H96" s="25" t="s">
        <v>2823</v>
      </c>
      <c r="I96" s="25" t="s">
        <v>2776</v>
      </c>
      <c r="J96" s="26" t="s">
        <v>2754</v>
      </c>
      <c r="K96" s="26" t="s">
        <v>2755</v>
      </c>
      <c r="L96" s="26">
        <v>123</v>
      </c>
      <c r="M96" s="26" t="s">
        <v>2756</v>
      </c>
    </row>
    <row r="97" spans="1:13" ht="33.6" customHeight="1" x14ac:dyDescent="0.3">
      <c r="A97" s="25" t="s">
        <v>168</v>
      </c>
      <c r="B97" s="25" t="s">
        <v>2823</v>
      </c>
      <c r="C97" s="25" t="s">
        <v>17</v>
      </c>
      <c r="D97" s="25" t="s">
        <v>18</v>
      </c>
      <c r="E97" s="25" t="s">
        <v>127</v>
      </c>
      <c r="F97" s="25" t="s">
        <v>2757</v>
      </c>
      <c r="G97" s="25" t="s">
        <v>2758</v>
      </c>
      <c r="H97" s="25" t="s">
        <v>2823</v>
      </c>
      <c r="I97" s="25" t="s">
        <v>2779</v>
      </c>
      <c r="J97" s="26" t="s">
        <v>2754</v>
      </c>
      <c r="K97" s="26" t="s">
        <v>2755</v>
      </c>
      <c r="L97" s="26">
        <v>127</v>
      </c>
      <c r="M97" s="26" t="s">
        <v>2756</v>
      </c>
    </row>
    <row r="98" spans="1:13" ht="33.6" customHeight="1" x14ac:dyDescent="0.3">
      <c r="A98" s="25" t="s">
        <v>186</v>
      </c>
      <c r="B98" s="25" t="s">
        <v>2824</v>
      </c>
      <c r="C98" s="25" t="s">
        <v>17</v>
      </c>
      <c r="D98" s="25" t="s">
        <v>18</v>
      </c>
      <c r="E98" s="25" t="s">
        <v>260</v>
      </c>
      <c r="F98" s="25" t="s">
        <v>2768</v>
      </c>
      <c r="G98" s="25" t="s">
        <v>2790</v>
      </c>
      <c r="H98" s="25" t="s">
        <v>2824</v>
      </c>
      <c r="I98" s="25" t="s">
        <v>2791</v>
      </c>
      <c r="J98" s="26" t="s">
        <v>2754</v>
      </c>
      <c r="K98" s="26" t="s">
        <v>2755</v>
      </c>
      <c r="L98" s="26">
        <v>75</v>
      </c>
      <c r="M98" s="26" t="s">
        <v>2756</v>
      </c>
    </row>
    <row r="99" spans="1:13" ht="33.6" customHeight="1" x14ac:dyDescent="0.3">
      <c r="A99" s="25" t="s">
        <v>186</v>
      </c>
      <c r="B99" s="25" t="s">
        <v>2824</v>
      </c>
      <c r="C99" s="25" t="s">
        <v>17</v>
      </c>
      <c r="D99" s="25" t="s">
        <v>18</v>
      </c>
      <c r="E99" s="25" t="s">
        <v>66</v>
      </c>
      <c r="F99" s="25" t="s">
        <v>2751</v>
      </c>
      <c r="G99" s="25" t="s">
        <v>2773</v>
      </c>
      <c r="H99" s="25" t="s">
        <v>2824</v>
      </c>
      <c r="I99" s="25" t="s">
        <v>2774</v>
      </c>
      <c r="J99" s="26" t="s">
        <v>2754</v>
      </c>
      <c r="K99" s="26" t="s">
        <v>2755</v>
      </c>
      <c r="L99" s="26">
        <v>123</v>
      </c>
      <c r="M99" s="26" t="s">
        <v>2756</v>
      </c>
    </row>
    <row r="100" spans="1:13" ht="33.6" customHeight="1" x14ac:dyDescent="0.3">
      <c r="A100" s="25" t="s">
        <v>186</v>
      </c>
      <c r="B100" s="25" t="s">
        <v>2824</v>
      </c>
      <c r="C100" s="25" t="s">
        <v>17</v>
      </c>
      <c r="D100" s="25" t="s">
        <v>18</v>
      </c>
      <c r="E100" s="25" t="s">
        <v>66</v>
      </c>
      <c r="F100" s="25" t="s">
        <v>2751</v>
      </c>
      <c r="G100" s="25" t="s">
        <v>2775</v>
      </c>
      <c r="H100" s="25" t="s">
        <v>2824</v>
      </c>
      <c r="I100" s="25" t="s">
        <v>2776</v>
      </c>
      <c r="J100" s="26" t="s">
        <v>2754</v>
      </c>
      <c r="K100" s="26" t="s">
        <v>2755</v>
      </c>
      <c r="L100" s="26">
        <v>123</v>
      </c>
      <c r="M100" s="26" t="s">
        <v>2756</v>
      </c>
    </row>
    <row r="101" spans="1:13" ht="33.6" customHeight="1" x14ac:dyDescent="0.3">
      <c r="A101" s="25" t="s">
        <v>186</v>
      </c>
      <c r="B101" s="25" t="s">
        <v>2824</v>
      </c>
      <c r="C101" s="25" t="s">
        <v>17</v>
      </c>
      <c r="D101" s="25" t="s">
        <v>18</v>
      </c>
      <c r="E101" s="25" t="s">
        <v>66</v>
      </c>
      <c r="F101" s="25" t="s">
        <v>2751</v>
      </c>
      <c r="G101" s="25" t="s">
        <v>2752</v>
      </c>
      <c r="H101" s="25" t="s">
        <v>2824</v>
      </c>
      <c r="I101" s="25" t="s">
        <v>2753</v>
      </c>
      <c r="J101" s="26" t="s">
        <v>2754</v>
      </c>
      <c r="K101" s="26" t="s">
        <v>2755</v>
      </c>
      <c r="L101" s="26">
        <v>123</v>
      </c>
      <c r="M101" s="26" t="s">
        <v>2756</v>
      </c>
    </row>
    <row r="102" spans="1:13" ht="33.6" customHeight="1" x14ac:dyDescent="0.3">
      <c r="A102" s="25" t="s">
        <v>186</v>
      </c>
      <c r="B102" s="25" t="s">
        <v>2824</v>
      </c>
      <c r="C102" s="25" t="s">
        <v>17</v>
      </c>
      <c r="D102" s="25" t="s">
        <v>18</v>
      </c>
      <c r="E102" s="25" t="s">
        <v>127</v>
      </c>
      <c r="F102" s="25" t="s">
        <v>2757</v>
      </c>
      <c r="G102" s="25" t="s">
        <v>2758</v>
      </c>
      <c r="H102" s="25" t="s">
        <v>2824</v>
      </c>
      <c r="I102" s="25" t="s">
        <v>2779</v>
      </c>
      <c r="J102" s="26" t="s">
        <v>2754</v>
      </c>
      <c r="K102" s="26" t="s">
        <v>2755</v>
      </c>
      <c r="L102" s="26">
        <v>127</v>
      </c>
      <c r="M102" s="26" t="s">
        <v>2756</v>
      </c>
    </row>
    <row r="103" spans="1:13" ht="33.6" customHeight="1" x14ac:dyDescent="0.3">
      <c r="A103" s="25" t="s">
        <v>192</v>
      </c>
      <c r="B103" s="25" t="s">
        <v>2825</v>
      </c>
      <c r="C103" s="25" t="s">
        <v>17</v>
      </c>
      <c r="D103" s="25" t="s">
        <v>18</v>
      </c>
      <c r="E103" s="25" t="s">
        <v>210</v>
      </c>
      <c r="F103" s="25" t="s">
        <v>2765</v>
      </c>
      <c r="G103" s="25" t="s">
        <v>2799</v>
      </c>
      <c r="H103" s="25" t="s">
        <v>2825</v>
      </c>
      <c r="I103" s="25" t="s">
        <v>2800</v>
      </c>
      <c r="J103" s="26" t="s">
        <v>2754</v>
      </c>
      <c r="K103" s="26" t="s">
        <v>2755</v>
      </c>
      <c r="L103" s="26">
        <v>38</v>
      </c>
      <c r="M103" s="26" t="s">
        <v>2756</v>
      </c>
    </row>
    <row r="104" spans="1:13" ht="33.6" customHeight="1" x14ac:dyDescent="0.3">
      <c r="A104" s="25" t="s">
        <v>192</v>
      </c>
      <c r="B104" s="25" t="s">
        <v>2825</v>
      </c>
      <c r="C104" s="25" t="s">
        <v>17</v>
      </c>
      <c r="D104" s="25" t="s">
        <v>18</v>
      </c>
      <c r="E104" s="25" t="s">
        <v>260</v>
      </c>
      <c r="F104" s="25" t="s">
        <v>2768</v>
      </c>
      <c r="G104" s="25" t="s">
        <v>2788</v>
      </c>
      <c r="H104" s="25" t="s">
        <v>2825</v>
      </c>
      <c r="I104" s="25" t="s">
        <v>2789</v>
      </c>
      <c r="J104" s="26" t="s">
        <v>2754</v>
      </c>
      <c r="K104" s="26" t="s">
        <v>2755</v>
      </c>
      <c r="L104" s="26">
        <v>75</v>
      </c>
      <c r="M104" s="26" t="s">
        <v>2756</v>
      </c>
    </row>
    <row r="105" spans="1:13" ht="33.6" customHeight="1" x14ac:dyDescent="0.3">
      <c r="A105" s="25" t="s">
        <v>192</v>
      </c>
      <c r="B105" s="25" t="s">
        <v>2825</v>
      </c>
      <c r="C105" s="25" t="s">
        <v>17</v>
      </c>
      <c r="D105" s="25" t="s">
        <v>18</v>
      </c>
      <c r="E105" s="25" t="s">
        <v>66</v>
      </c>
      <c r="F105" s="25" t="s">
        <v>2751</v>
      </c>
      <c r="G105" s="25" t="s">
        <v>2773</v>
      </c>
      <c r="H105" s="25" t="s">
        <v>2825</v>
      </c>
      <c r="I105" s="25" t="s">
        <v>2774</v>
      </c>
      <c r="J105" s="26" t="s">
        <v>2754</v>
      </c>
      <c r="K105" s="26" t="s">
        <v>2755</v>
      </c>
      <c r="L105" s="26">
        <v>123</v>
      </c>
      <c r="M105" s="26" t="s">
        <v>2756</v>
      </c>
    </row>
    <row r="106" spans="1:13" ht="33.6" customHeight="1" x14ac:dyDescent="0.3">
      <c r="A106" s="25" t="s">
        <v>192</v>
      </c>
      <c r="B106" s="25" t="s">
        <v>2825</v>
      </c>
      <c r="C106" s="25" t="s">
        <v>17</v>
      </c>
      <c r="D106" s="25" t="s">
        <v>18</v>
      </c>
      <c r="E106" s="25" t="s">
        <v>66</v>
      </c>
      <c r="F106" s="25" t="s">
        <v>2751</v>
      </c>
      <c r="G106" s="25" t="s">
        <v>2784</v>
      </c>
      <c r="H106" s="25" t="s">
        <v>2825</v>
      </c>
      <c r="I106" s="25" t="s">
        <v>2785</v>
      </c>
      <c r="J106" s="26" t="s">
        <v>2754</v>
      </c>
      <c r="K106" s="26" t="s">
        <v>2755</v>
      </c>
      <c r="L106" s="26">
        <v>123</v>
      </c>
      <c r="M106" s="26" t="s">
        <v>2756</v>
      </c>
    </row>
    <row r="107" spans="1:13" ht="33.6" customHeight="1" x14ac:dyDescent="0.3">
      <c r="A107" s="25" t="s">
        <v>192</v>
      </c>
      <c r="B107" s="25" t="s">
        <v>2825</v>
      </c>
      <c r="C107" s="25" t="s">
        <v>17</v>
      </c>
      <c r="D107" s="25" t="s">
        <v>18</v>
      </c>
      <c r="E107" s="25" t="s">
        <v>66</v>
      </c>
      <c r="F107" s="25" t="s">
        <v>2751</v>
      </c>
      <c r="G107" s="25" t="s">
        <v>2775</v>
      </c>
      <c r="H107" s="25" t="s">
        <v>2825</v>
      </c>
      <c r="I107" s="25" t="s">
        <v>2776</v>
      </c>
      <c r="J107" s="26" t="s">
        <v>2754</v>
      </c>
      <c r="K107" s="26" t="s">
        <v>2755</v>
      </c>
      <c r="L107" s="26">
        <v>123</v>
      </c>
      <c r="M107" s="26" t="s">
        <v>2756</v>
      </c>
    </row>
    <row r="108" spans="1:13" ht="33.6" customHeight="1" x14ac:dyDescent="0.3">
      <c r="A108" s="25" t="s">
        <v>192</v>
      </c>
      <c r="B108" s="25" t="s">
        <v>2825</v>
      </c>
      <c r="C108" s="25" t="s">
        <v>17</v>
      </c>
      <c r="D108" s="25" t="s">
        <v>18</v>
      </c>
      <c r="E108" s="25" t="s">
        <v>127</v>
      </c>
      <c r="F108" s="25" t="s">
        <v>2757</v>
      </c>
      <c r="G108" s="25" t="s">
        <v>2758</v>
      </c>
      <c r="H108" s="25" t="s">
        <v>2825</v>
      </c>
      <c r="I108" s="25" t="s">
        <v>2779</v>
      </c>
      <c r="J108" s="26" t="s">
        <v>2754</v>
      </c>
      <c r="K108" s="26" t="s">
        <v>2755</v>
      </c>
      <c r="L108" s="26">
        <v>127</v>
      </c>
      <c r="M108" s="26" t="s">
        <v>2756</v>
      </c>
    </row>
    <row r="109" spans="1:13" ht="33.6" customHeight="1" x14ac:dyDescent="0.3">
      <c r="A109" s="25" t="s">
        <v>198</v>
      </c>
      <c r="B109" s="25" t="s">
        <v>2826</v>
      </c>
      <c r="C109" s="25" t="s">
        <v>17</v>
      </c>
      <c r="D109" s="25" t="s">
        <v>18</v>
      </c>
      <c r="E109" s="25" t="s">
        <v>51</v>
      </c>
      <c r="F109" s="25" t="s">
        <v>2809</v>
      </c>
      <c r="G109" s="25" t="s">
        <v>2810</v>
      </c>
      <c r="H109" s="25" t="s">
        <v>2826</v>
      </c>
      <c r="I109" s="25" t="s">
        <v>2811</v>
      </c>
      <c r="J109" s="26" t="s">
        <v>2754</v>
      </c>
      <c r="K109" s="26" t="s">
        <v>2755</v>
      </c>
      <c r="L109" s="26">
        <v>21</v>
      </c>
      <c r="M109" s="26" t="s">
        <v>2756</v>
      </c>
    </row>
    <row r="110" spans="1:13" ht="33.6" customHeight="1" x14ac:dyDescent="0.3">
      <c r="A110" s="25" t="s">
        <v>211</v>
      </c>
      <c r="B110" s="25" t="s">
        <v>2827</v>
      </c>
      <c r="C110" s="25" t="s">
        <v>17</v>
      </c>
      <c r="D110" s="25" t="s">
        <v>18</v>
      </c>
      <c r="E110" s="25" t="s">
        <v>66</v>
      </c>
      <c r="F110" s="25" t="s">
        <v>2751</v>
      </c>
      <c r="G110" s="25" t="s">
        <v>2773</v>
      </c>
      <c r="H110" s="25" t="s">
        <v>2827</v>
      </c>
      <c r="I110" s="25" t="s">
        <v>2774</v>
      </c>
      <c r="J110" s="26" t="s">
        <v>2754</v>
      </c>
      <c r="K110" s="26" t="s">
        <v>2755</v>
      </c>
      <c r="L110" s="26">
        <v>123</v>
      </c>
      <c r="M110" s="26" t="s">
        <v>2756</v>
      </c>
    </row>
    <row r="111" spans="1:13" ht="33.6" customHeight="1" x14ac:dyDescent="0.3">
      <c r="A111" s="25" t="s">
        <v>211</v>
      </c>
      <c r="B111" s="25" t="s">
        <v>2827</v>
      </c>
      <c r="C111" s="25" t="s">
        <v>17</v>
      </c>
      <c r="D111" s="25" t="s">
        <v>18</v>
      </c>
      <c r="E111" s="25" t="s">
        <v>66</v>
      </c>
      <c r="F111" s="25" t="s">
        <v>2751</v>
      </c>
      <c r="G111" s="25" t="s">
        <v>2775</v>
      </c>
      <c r="H111" s="25" t="s">
        <v>2827</v>
      </c>
      <c r="I111" s="25" t="s">
        <v>2776</v>
      </c>
      <c r="J111" s="26" t="s">
        <v>2754</v>
      </c>
      <c r="K111" s="26" t="s">
        <v>2755</v>
      </c>
      <c r="L111" s="26">
        <v>123</v>
      </c>
      <c r="M111" s="26" t="s">
        <v>2756</v>
      </c>
    </row>
    <row r="112" spans="1:13" ht="33.6" customHeight="1" x14ac:dyDescent="0.3">
      <c r="A112" s="25" t="s">
        <v>211</v>
      </c>
      <c r="B112" s="25" t="s">
        <v>2827</v>
      </c>
      <c r="C112" s="25" t="s">
        <v>17</v>
      </c>
      <c r="D112" s="25" t="s">
        <v>18</v>
      </c>
      <c r="E112" s="25" t="s">
        <v>66</v>
      </c>
      <c r="F112" s="25" t="s">
        <v>2751</v>
      </c>
      <c r="G112" s="25" t="s">
        <v>2777</v>
      </c>
      <c r="H112" s="25" t="s">
        <v>2827</v>
      </c>
      <c r="I112" s="25" t="s">
        <v>2778</v>
      </c>
      <c r="J112" s="26" t="s">
        <v>2754</v>
      </c>
      <c r="K112" s="26" t="s">
        <v>2755</v>
      </c>
      <c r="L112" s="26">
        <v>123</v>
      </c>
      <c r="M112" s="26" t="s">
        <v>2756</v>
      </c>
    </row>
    <row r="113" spans="1:13" ht="33.6" customHeight="1" x14ac:dyDescent="0.3">
      <c r="A113" s="25" t="s">
        <v>211</v>
      </c>
      <c r="B113" s="25" t="s">
        <v>2827</v>
      </c>
      <c r="C113" s="25" t="s">
        <v>17</v>
      </c>
      <c r="D113" s="25" t="s">
        <v>18</v>
      </c>
      <c r="E113" s="25" t="s">
        <v>127</v>
      </c>
      <c r="F113" s="25" t="s">
        <v>2757</v>
      </c>
      <c r="G113" s="25" t="s">
        <v>2758</v>
      </c>
      <c r="H113" s="25" t="s">
        <v>2827</v>
      </c>
      <c r="I113" s="25" t="s">
        <v>2779</v>
      </c>
      <c r="J113" s="26" t="s">
        <v>2754</v>
      </c>
      <c r="K113" s="26" t="s">
        <v>2755</v>
      </c>
      <c r="L113" s="26">
        <v>127</v>
      </c>
      <c r="M113" s="26" t="s">
        <v>2756</v>
      </c>
    </row>
    <row r="114" spans="1:13" ht="33.6" customHeight="1" x14ac:dyDescent="0.3">
      <c r="A114" s="25" t="s">
        <v>217</v>
      </c>
      <c r="B114" s="25" t="s">
        <v>2828</v>
      </c>
      <c r="C114" s="25" t="s">
        <v>17</v>
      </c>
      <c r="D114" s="25" t="s">
        <v>18</v>
      </c>
      <c r="E114" s="25" t="s">
        <v>66</v>
      </c>
      <c r="F114" s="25" t="s">
        <v>2751</v>
      </c>
      <c r="G114" s="25" t="s">
        <v>2773</v>
      </c>
      <c r="H114" s="25" t="s">
        <v>2828</v>
      </c>
      <c r="I114" s="25" t="s">
        <v>2774</v>
      </c>
      <c r="J114" s="26" t="s">
        <v>2754</v>
      </c>
      <c r="K114" s="26" t="s">
        <v>2755</v>
      </c>
      <c r="L114" s="26">
        <v>123</v>
      </c>
      <c r="M114" s="26" t="s">
        <v>2756</v>
      </c>
    </row>
    <row r="115" spans="1:13" ht="33.6" customHeight="1" x14ac:dyDescent="0.3">
      <c r="A115" s="25" t="s">
        <v>217</v>
      </c>
      <c r="B115" s="25" t="s">
        <v>2828</v>
      </c>
      <c r="C115" s="25" t="s">
        <v>17</v>
      </c>
      <c r="D115" s="25" t="s">
        <v>18</v>
      </c>
      <c r="E115" s="25" t="s">
        <v>66</v>
      </c>
      <c r="F115" s="25" t="s">
        <v>2751</v>
      </c>
      <c r="G115" s="25" t="s">
        <v>2775</v>
      </c>
      <c r="H115" s="25" t="s">
        <v>2828</v>
      </c>
      <c r="I115" s="25" t="s">
        <v>2776</v>
      </c>
      <c r="J115" s="26" t="s">
        <v>2754</v>
      </c>
      <c r="K115" s="26" t="s">
        <v>2755</v>
      </c>
      <c r="L115" s="26">
        <v>123</v>
      </c>
      <c r="M115" s="26" t="s">
        <v>2756</v>
      </c>
    </row>
    <row r="116" spans="1:13" ht="33.6" customHeight="1" x14ac:dyDescent="0.3">
      <c r="A116" s="25" t="s">
        <v>217</v>
      </c>
      <c r="B116" s="25" t="s">
        <v>2828</v>
      </c>
      <c r="C116" s="25" t="s">
        <v>17</v>
      </c>
      <c r="D116" s="25" t="s">
        <v>18</v>
      </c>
      <c r="E116" s="25" t="s">
        <v>66</v>
      </c>
      <c r="F116" s="25" t="s">
        <v>2751</v>
      </c>
      <c r="G116" s="25" t="s">
        <v>2752</v>
      </c>
      <c r="H116" s="25" t="s">
        <v>2828</v>
      </c>
      <c r="I116" s="25" t="s">
        <v>2753</v>
      </c>
      <c r="J116" s="26" t="s">
        <v>2754</v>
      </c>
      <c r="K116" s="26" t="s">
        <v>2755</v>
      </c>
      <c r="L116" s="26">
        <v>123</v>
      </c>
      <c r="M116" s="26" t="s">
        <v>2756</v>
      </c>
    </row>
    <row r="117" spans="1:13" ht="33.6" customHeight="1" x14ac:dyDescent="0.3">
      <c r="A117" s="25" t="s">
        <v>217</v>
      </c>
      <c r="B117" s="25" t="s">
        <v>2828</v>
      </c>
      <c r="C117" s="25" t="s">
        <v>17</v>
      </c>
      <c r="D117" s="25" t="s">
        <v>18</v>
      </c>
      <c r="E117" s="25" t="s">
        <v>127</v>
      </c>
      <c r="F117" s="25" t="s">
        <v>2757</v>
      </c>
      <c r="G117" s="25" t="s">
        <v>2758</v>
      </c>
      <c r="H117" s="25" t="s">
        <v>2828</v>
      </c>
      <c r="I117" s="25" t="s">
        <v>2759</v>
      </c>
      <c r="J117" s="26" t="s">
        <v>2754</v>
      </c>
      <c r="K117" s="26" t="s">
        <v>2755</v>
      </c>
      <c r="L117" s="26">
        <v>127</v>
      </c>
      <c r="M117" s="26" t="s">
        <v>2756</v>
      </c>
    </row>
    <row r="118" spans="1:13" ht="33.6" customHeight="1" x14ac:dyDescent="0.3">
      <c r="A118" s="25" t="s">
        <v>223</v>
      </c>
      <c r="B118" s="25" t="s">
        <v>2829</v>
      </c>
      <c r="C118" s="25" t="s">
        <v>17</v>
      </c>
      <c r="D118" s="25" t="s">
        <v>18</v>
      </c>
      <c r="E118" s="25" t="s">
        <v>66</v>
      </c>
      <c r="F118" s="25" t="s">
        <v>2751</v>
      </c>
      <c r="G118" s="25" t="s">
        <v>2775</v>
      </c>
      <c r="H118" s="25" t="s">
        <v>2829</v>
      </c>
      <c r="I118" s="25" t="s">
        <v>2806</v>
      </c>
      <c r="J118" s="26" t="s">
        <v>2754</v>
      </c>
      <c r="K118" s="26" t="s">
        <v>2755</v>
      </c>
      <c r="L118" s="26">
        <v>123</v>
      </c>
      <c r="M118" s="26" t="s">
        <v>2756</v>
      </c>
    </row>
    <row r="119" spans="1:13" ht="33.6" customHeight="1" x14ac:dyDescent="0.3">
      <c r="A119" s="25" t="s">
        <v>223</v>
      </c>
      <c r="B119" s="25" t="s">
        <v>2829</v>
      </c>
      <c r="C119" s="25" t="s">
        <v>17</v>
      </c>
      <c r="D119" s="25" t="s">
        <v>18</v>
      </c>
      <c r="E119" s="25" t="s">
        <v>127</v>
      </c>
      <c r="F119" s="25" t="s">
        <v>2757</v>
      </c>
      <c r="G119" s="25" t="s">
        <v>2758</v>
      </c>
      <c r="H119" s="25" t="s">
        <v>2829</v>
      </c>
      <c r="I119" s="25" t="s">
        <v>2779</v>
      </c>
      <c r="J119" s="26" t="s">
        <v>2754</v>
      </c>
      <c r="K119" s="26" t="s">
        <v>2755</v>
      </c>
      <c r="L119" s="26">
        <v>127</v>
      </c>
      <c r="M119" s="26" t="s">
        <v>2756</v>
      </c>
    </row>
    <row r="120" spans="1:13" ht="33.6" customHeight="1" x14ac:dyDescent="0.3">
      <c r="A120" s="25" t="s">
        <v>229</v>
      </c>
      <c r="B120" s="25" t="s">
        <v>230</v>
      </c>
      <c r="C120" s="25" t="s">
        <v>17</v>
      </c>
      <c r="D120" s="25" t="s">
        <v>18</v>
      </c>
      <c r="E120" s="25" t="s">
        <v>51</v>
      </c>
      <c r="F120" s="25" t="s">
        <v>2809</v>
      </c>
      <c r="G120" s="25" t="s">
        <v>2810</v>
      </c>
      <c r="H120" s="25" t="s">
        <v>230</v>
      </c>
      <c r="I120" s="25" t="s">
        <v>2811</v>
      </c>
      <c r="J120" s="26" t="s">
        <v>2754</v>
      </c>
      <c r="K120" s="26" t="s">
        <v>2755</v>
      </c>
      <c r="L120" s="26">
        <v>21</v>
      </c>
      <c r="M120" s="26" t="s">
        <v>2756</v>
      </c>
    </row>
    <row r="121" spans="1:13" ht="33.6" customHeight="1" x14ac:dyDescent="0.3">
      <c r="A121" s="25" t="s">
        <v>229</v>
      </c>
      <c r="B121" s="25" t="s">
        <v>230</v>
      </c>
      <c r="C121" s="25" t="s">
        <v>17</v>
      </c>
      <c r="D121" s="25" t="s">
        <v>18</v>
      </c>
      <c r="E121" s="25" t="s">
        <v>66</v>
      </c>
      <c r="F121" s="25" t="s">
        <v>2751</v>
      </c>
      <c r="G121" s="25" t="s">
        <v>2794</v>
      </c>
      <c r="H121" s="25" t="s">
        <v>230</v>
      </c>
      <c r="I121" s="25" t="s">
        <v>2795</v>
      </c>
      <c r="J121" s="26" t="s">
        <v>2754</v>
      </c>
      <c r="K121" s="26" t="s">
        <v>2755</v>
      </c>
      <c r="L121" s="26">
        <v>123</v>
      </c>
      <c r="M121" s="26" t="s">
        <v>2756</v>
      </c>
    </row>
    <row r="122" spans="1:13" ht="33.6" customHeight="1" x14ac:dyDescent="0.3">
      <c r="A122" s="25" t="s">
        <v>254</v>
      </c>
      <c r="B122" s="25" t="s">
        <v>2830</v>
      </c>
      <c r="C122" s="25" t="s">
        <v>17</v>
      </c>
      <c r="D122" s="25" t="s">
        <v>18</v>
      </c>
      <c r="E122" s="25" t="s">
        <v>260</v>
      </c>
      <c r="F122" s="25" t="s">
        <v>2768</v>
      </c>
      <c r="G122" s="25" t="s">
        <v>2769</v>
      </c>
      <c r="H122" s="25" t="s">
        <v>2830</v>
      </c>
      <c r="I122" s="25" t="s">
        <v>2815</v>
      </c>
      <c r="J122" s="26" t="s">
        <v>2754</v>
      </c>
      <c r="K122" s="26" t="s">
        <v>2755</v>
      </c>
      <c r="L122" s="26">
        <v>75</v>
      </c>
      <c r="M122" s="26" t="s">
        <v>2756</v>
      </c>
    </row>
    <row r="123" spans="1:13" ht="33.6" customHeight="1" x14ac:dyDescent="0.3">
      <c r="A123" s="25" t="s">
        <v>267</v>
      </c>
      <c r="B123" s="25" t="s">
        <v>2831</v>
      </c>
      <c r="C123" s="25" t="s">
        <v>17</v>
      </c>
      <c r="D123" s="25" t="s">
        <v>18</v>
      </c>
      <c r="E123" s="25" t="s">
        <v>66</v>
      </c>
      <c r="F123" s="25" t="s">
        <v>2751</v>
      </c>
      <c r="G123" s="25" t="s">
        <v>2773</v>
      </c>
      <c r="H123" s="25" t="s">
        <v>2831</v>
      </c>
      <c r="I123" s="25" t="s">
        <v>2774</v>
      </c>
      <c r="J123" s="26" t="s">
        <v>2754</v>
      </c>
      <c r="K123" s="26" t="s">
        <v>2755</v>
      </c>
      <c r="L123" s="26">
        <v>123</v>
      </c>
      <c r="M123" s="26" t="s">
        <v>2756</v>
      </c>
    </row>
    <row r="124" spans="1:13" ht="33.6" customHeight="1" x14ac:dyDescent="0.3">
      <c r="A124" s="25" t="s">
        <v>267</v>
      </c>
      <c r="B124" s="25" t="s">
        <v>2831</v>
      </c>
      <c r="C124" s="25" t="s">
        <v>17</v>
      </c>
      <c r="D124" s="25" t="s">
        <v>18</v>
      </c>
      <c r="E124" s="25" t="s">
        <v>66</v>
      </c>
      <c r="F124" s="25" t="s">
        <v>2751</v>
      </c>
      <c r="G124" s="25" t="s">
        <v>2775</v>
      </c>
      <c r="H124" s="25" t="s">
        <v>2831</v>
      </c>
      <c r="I124" s="25" t="s">
        <v>2776</v>
      </c>
      <c r="J124" s="26" t="s">
        <v>2754</v>
      </c>
      <c r="K124" s="26" t="s">
        <v>2755</v>
      </c>
      <c r="L124" s="26">
        <v>123</v>
      </c>
      <c r="M124" s="26" t="s">
        <v>2756</v>
      </c>
    </row>
    <row r="125" spans="1:13" ht="33.6" customHeight="1" x14ac:dyDescent="0.3">
      <c r="A125" s="25" t="s">
        <v>267</v>
      </c>
      <c r="B125" s="25" t="s">
        <v>2831</v>
      </c>
      <c r="C125" s="25" t="s">
        <v>17</v>
      </c>
      <c r="D125" s="25" t="s">
        <v>18</v>
      </c>
      <c r="E125" s="25" t="s">
        <v>127</v>
      </c>
      <c r="F125" s="25" t="s">
        <v>2757</v>
      </c>
      <c r="G125" s="25" t="s">
        <v>2796</v>
      </c>
      <c r="H125" s="25" t="s">
        <v>2831</v>
      </c>
      <c r="I125" s="25" t="s">
        <v>2797</v>
      </c>
      <c r="J125" s="26" t="s">
        <v>2754</v>
      </c>
      <c r="K125" s="26" t="s">
        <v>2755</v>
      </c>
      <c r="L125" s="26">
        <v>127</v>
      </c>
      <c r="M125" s="26" t="s">
        <v>2756</v>
      </c>
    </row>
    <row r="126" spans="1:13" ht="33.6" customHeight="1" x14ac:dyDescent="0.3">
      <c r="A126" s="25" t="s">
        <v>267</v>
      </c>
      <c r="B126" s="25" t="s">
        <v>2831</v>
      </c>
      <c r="C126" s="25" t="s">
        <v>17</v>
      </c>
      <c r="D126" s="25" t="s">
        <v>18</v>
      </c>
      <c r="E126" s="25" t="s">
        <v>885</v>
      </c>
      <c r="F126" s="25" t="s">
        <v>2762</v>
      </c>
      <c r="G126" s="25" t="s">
        <v>2763</v>
      </c>
      <c r="H126" s="25" t="s">
        <v>2831</v>
      </c>
      <c r="I126" s="25" t="s">
        <v>2816</v>
      </c>
      <c r="J126" s="26" t="s">
        <v>2754</v>
      </c>
      <c r="K126" s="26" t="s">
        <v>2755</v>
      </c>
      <c r="L126" s="26">
        <v>14</v>
      </c>
      <c r="M126" s="26" t="s">
        <v>2756</v>
      </c>
    </row>
    <row r="127" spans="1:13" ht="33.6" customHeight="1" x14ac:dyDescent="0.3">
      <c r="A127" s="25" t="s">
        <v>274</v>
      </c>
      <c r="B127" s="25" t="s">
        <v>2832</v>
      </c>
      <c r="C127" s="25" t="s">
        <v>17</v>
      </c>
      <c r="D127" s="25" t="s">
        <v>18</v>
      </c>
      <c r="E127" s="25" t="s">
        <v>260</v>
      </c>
      <c r="F127" s="25" t="s">
        <v>2768</v>
      </c>
      <c r="G127" s="25" t="s">
        <v>2769</v>
      </c>
      <c r="H127" s="25" t="s">
        <v>2832</v>
      </c>
      <c r="I127" s="25" t="s">
        <v>2770</v>
      </c>
      <c r="J127" s="26" t="s">
        <v>2754</v>
      </c>
      <c r="K127" s="26" t="s">
        <v>2755</v>
      </c>
      <c r="L127" s="26">
        <v>75</v>
      </c>
      <c r="M127" s="26" t="s">
        <v>2756</v>
      </c>
    </row>
    <row r="128" spans="1:13" ht="33.6" customHeight="1" x14ac:dyDescent="0.3">
      <c r="A128" s="25" t="s">
        <v>274</v>
      </c>
      <c r="B128" s="25" t="s">
        <v>2832</v>
      </c>
      <c r="C128" s="25" t="s">
        <v>17</v>
      </c>
      <c r="D128" s="25" t="s">
        <v>18</v>
      </c>
      <c r="E128" s="25" t="s">
        <v>66</v>
      </c>
      <c r="F128" s="25" t="s">
        <v>2751</v>
      </c>
      <c r="G128" s="25" t="s">
        <v>2773</v>
      </c>
      <c r="H128" s="25" t="s">
        <v>2832</v>
      </c>
      <c r="I128" s="25" t="s">
        <v>2774</v>
      </c>
      <c r="J128" s="26" t="s">
        <v>2754</v>
      </c>
      <c r="K128" s="26" t="s">
        <v>2755</v>
      </c>
      <c r="L128" s="26">
        <v>123</v>
      </c>
      <c r="M128" s="26" t="s">
        <v>2756</v>
      </c>
    </row>
    <row r="129" spans="1:13" ht="33.6" customHeight="1" x14ac:dyDescent="0.3">
      <c r="A129" s="25" t="s">
        <v>274</v>
      </c>
      <c r="B129" s="25" t="s">
        <v>2832</v>
      </c>
      <c r="C129" s="25" t="s">
        <v>17</v>
      </c>
      <c r="D129" s="25" t="s">
        <v>18</v>
      </c>
      <c r="E129" s="25" t="s">
        <v>66</v>
      </c>
      <c r="F129" s="25" t="s">
        <v>2751</v>
      </c>
      <c r="G129" s="25" t="s">
        <v>2775</v>
      </c>
      <c r="H129" s="25" t="s">
        <v>2832</v>
      </c>
      <c r="I129" s="25" t="s">
        <v>2776</v>
      </c>
      <c r="J129" s="26" t="s">
        <v>2754</v>
      </c>
      <c r="K129" s="26" t="s">
        <v>2755</v>
      </c>
      <c r="L129" s="26">
        <v>123</v>
      </c>
      <c r="M129" s="26" t="s">
        <v>2756</v>
      </c>
    </row>
    <row r="130" spans="1:13" ht="33.6" customHeight="1" x14ac:dyDescent="0.3">
      <c r="A130" s="25" t="s">
        <v>274</v>
      </c>
      <c r="B130" s="25" t="s">
        <v>2832</v>
      </c>
      <c r="C130" s="25" t="s">
        <v>17</v>
      </c>
      <c r="D130" s="25" t="s">
        <v>18</v>
      </c>
      <c r="E130" s="25" t="s">
        <v>127</v>
      </c>
      <c r="F130" s="25" t="s">
        <v>2757</v>
      </c>
      <c r="G130" s="25" t="s">
        <v>2758</v>
      </c>
      <c r="H130" s="25" t="s">
        <v>2832</v>
      </c>
      <c r="I130" s="25" t="s">
        <v>2779</v>
      </c>
      <c r="J130" s="26" t="s">
        <v>2754</v>
      </c>
      <c r="K130" s="26" t="s">
        <v>2755</v>
      </c>
      <c r="L130" s="26">
        <v>127</v>
      </c>
      <c r="M130" s="26" t="s">
        <v>2756</v>
      </c>
    </row>
    <row r="131" spans="1:13" ht="33.6" customHeight="1" x14ac:dyDescent="0.3">
      <c r="A131" s="25" t="s">
        <v>280</v>
      </c>
      <c r="B131" s="25" t="s">
        <v>2833</v>
      </c>
      <c r="C131" s="25" t="s">
        <v>17</v>
      </c>
      <c r="D131" s="25" t="s">
        <v>18</v>
      </c>
      <c r="E131" s="25" t="s">
        <v>210</v>
      </c>
      <c r="F131" s="25" t="s">
        <v>2765</v>
      </c>
      <c r="G131" s="25" t="s">
        <v>2818</v>
      </c>
      <c r="H131" s="25" t="s">
        <v>2833</v>
      </c>
      <c r="I131" s="25" t="s">
        <v>2822</v>
      </c>
      <c r="J131" s="26" t="s">
        <v>2754</v>
      </c>
      <c r="K131" s="26" t="s">
        <v>2755</v>
      </c>
      <c r="L131" s="26">
        <v>38</v>
      </c>
      <c r="M131" s="26" t="s">
        <v>2756</v>
      </c>
    </row>
    <row r="132" spans="1:13" ht="33.6" customHeight="1" x14ac:dyDescent="0.3">
      <c r="A132" s="25" t="s">
        <v>280</v>
      </c>
      <c r="B132" s="25" t="s">
        <v>2833</v>
      </c>
      <c r="C132" s="25" t="s">
        <v>17</v>
      </c>
      <c r="D132" s="25" t="s">
        <v>18</v>
      </c>
      <c r="E132" s="25" t="s">
        <v>127</v>
      </c>
      <c r="F132" s="25" t="s">
        <v>2757</v>
      </c>
      <c r="G132" s="25" t="s">
        <v>2760</v>
      </c>
      <c r="H132" s="25" t="s">
        <v>2833</v>
      </c>
      <c r="I132" s="25" t="s">
        <v>2761</v>
      </c>
      <c r="J132" s="26" t="s">
        <v>2754</v>
      </c>
      <c r="K132" s="26" t="s">
        <v>2755</v>
      </c>
      <c r="L132" s="26">
        <v>127</v>
      </c>
      <c r="M132" s="26" t="s">
        <v>2756</v>
      </c>
    </row>
    <row r="133" spans="1:13" ht="33.6" customHeight="1" x14ac:dyDescent="0.3">
      <c r="A133" s="25" t="s">
        <v>293</v>
      </c>
      <c r="B133" s="25" t="s">
        <v>2834</v>
      </c>
      <c r="C133" s="25" t="s">
        <v>17</v>
      </c>
      <c r="D133" s="25" t="s">
        <v>18</v>
      </c>
      <c r="E133" s="25" t="s">
        <v>210</v>
      </c>
      <c r="F133" s="25" t="s">
        <v>2765</v>
      </c>
      <c r="G133" s="25" t="s">
        <v>2818</v>
      </c>
      <c r="H133" s="25" t="s">
        <v>2834</v>
      </c>
      <c r="I133" s="25" t="s">
        <v>2819</v>
      </c>
      <c r="J133" s="26" t="s">
        <v>2754</v>
      </c>
      <c r="K133" s="26" t="s">
        <v>2755</v>
      </c>
      <c r="L133" s="26">
        <v>38</v>
      </c>
      <c r="M133" s="26" t="s">
        <v>2756</v>
      </c>
    </row>
    <row r="134" spans="1:13" ht="33.6" customHeight="1" x14ac:dyDescent="0.3">
      <c r="A134" s="25" t="s">
        <v>293</v>
      </c>
      <c r="B134" s="25" t="s">
        <v>2834</v>
      </c>
      <c r="C134" s="25" t="s">
        <v>17</v>
      </c>
      <c r="D134" s="25" t="s">
        <v>18</v>
      </c>
      <c r="E134" s="25" t="s">
        <v>210</v>
      </c>
      <c r="F134" s="25" t="s">
        <v>2765</v>
      </c>
      <c r="G134" s="25" t="s">
        <v>2766</v>
      </c>
      <c r="H134" s="25" t="s">
        <v>2834</v>
      </c>
      <c r="I134" s="25" t="s">
        <v>2767</v>
      </c>
      <c r="J134" s="26" t="s">
        <v>2754</v>
      </c>
      <c r="K134" s="26" t="s">
        <v>2755</v>
      </c>
      <c r="L134" s="26">
        <v>38</v>
      </c>
      <c r="M134" s="26" t="s">
        <v>2756</v>
      </c>
    </row>
    <row r="135" spans="1:13" ht="33.6" customHeight="1" x14ac:dyDescent="0.3">
      <c r="A135" s="25" t="s">
        <v>293</v>
      </c>
      <c r="B135" s="25" t="s">
        <v>2834</v>
      </c>
      <c r="C135" s="25" t="s">
        <v>17</v>
      </c>
      <c r="D135" s="25" t="s">
        <v>18</v>
      </c>
      <c r="E135" s="25" t="s">
        <v>66</v>
      </c>
      <c r="F135" s="25" t="s">
        <v>2751</v>
      </c>
      <c r="G135" s="25" t="s">
        <v>2773</v>
      </c>
      <c r="H135" s="25" t="s">
        <v>2834</v>
      </c>
      <c r="I135" s="25" t="s">
        <v>2774</v>
      </c>
      <c r="J135" s="26" t="s">
        <v>2754</v>
      </c>
      <c r="K135" s="26" t="s">
        <v>2755</v>
      </c>
      <c r="L135" s="26">
        <v>123</v>
      </c>
      <c r="M135" s="26" t="s">
        <v>2756</v>
      </c>
    </row>
    <row r="136" spans="1:13" ht="33.6" customHeight="1" x14ac:dyDescent="0.3">
      <c r="A136" s="25" t="s">
        <v>293</v>
      </c>
      <c r="B136" s="25" t="s">
        <v>2834</v>
      </c>
      <c r="C136" s="25" t="s">
        <v>17</v>
      </c>
      <c r="D136" s="25" t="s">
        <v>18</v>
      </c>
      <c r="E136" s="25" t="s">
        <v>66</v>
      </c>
      <c r="F136" s="25" t="s">
        <v>2751</v>
      </c>
      <c r="G136" s="25" t="s">
        <v>2775</v>
      </c>
      <c r="H136" s="25" t="s">
        <v>2834</v>
      </c>
      <c r="I136" s="25" t="s">
        <v>2776</v>
      </c>
      <c r="J136" s="26" t="s">
        <v>2754</v>
      </c>
      <c r="K136" s="26" t="s">
        <v>2755</v>
      </c>
      <c r="L136" s="26">
        <v>123</v>
      </c>
      <c r="M136" s="26" t="s">
        <v>2756</v>
      </c>
    </row>
    <row r="137" spans="1:13" ht="33.6" customHeight="1" x14ac:dyDescent="0.3">
      <c r="A137" s="25" t="s">
        <v>293</v>
      </c>
      <c r="B137" s="25" t="s">
        <v>2834</v>
      </c>
      <c r="C137" s="25" t="s">
        <v>17</v>
      </c>
      <c r="D137" s="25" t="s">
        <v>18</v>
      </c>
      <c r="E137" s="25" t="s">
        <v>66</v>
      </c>
      <c r="F137" s="25" t="s">
        <v>2751</v>
      </c>
      <c r="G137" s="25" t="s">
        <v>2777</v>
      </c>
      <c r="H137" s="25" t="s">
        <v>2834</v>
      </c>
      <c r="I137" s="25" t="s">
        <v>2778</v>
      </c>
      <c r="J137" s="26" t="s">
        <v>2754</v>
      </c>
      <c r="K137" s="26" t="s">
        <v>2755</v>
      </c>
      <c r="L137" s="26">
        <v>123</v>
      </c>
      <c r="M137" s="26" t="s">
        <v>2756</v>
      </c>
    </row>
    <row r="138" spans="1:13" ht="33.6" customHeight="1" x14ac:dyDescent="0.3">
      <c r="A138" s="25" t="s">
        <v>293</v>
      </c>
      <c r="B138" s="25" t="s">
        <v>2834</v>
      </c>
      <c r="C138" s="25" t="s">
        <v>17</v>
      </c>
      <c r="D138" s="25" t="s">
        <v>18</v>
      </c>
      <c r="E138" s="25" t="s">
        <v>127</v>
      </c>
      <c r="F138" s="25" t="s">
        <v>2757</v>
      </c>
      <c r="G138" s="25" t="s">
        <v>2758</v>
      </c>
      <c r="H138" s="25" t="s">
        <v>2834</v>
      </c>
      <c r="I138" s="25" t="s">
        <v>2759</v>
      </c>
      <c r="J138" s="26" t="s">
        <v>2754</v>
      </c>
      <c r="K138" s="26" t="s">
        <v>2755</v>
      </c>
      <c r="L138" s="26">
        <v>127</v>
      </c>
      <c r="M138" s="26" t="s">
        <v>2756</v>
      </c>
    </row>
    <row r="139" spans="1:13" ht="33.6" customHeight="1" x14ac:dyDescent="0.3">
      <c r="A139" s="25" t="s">
        <v>299</v>
      </c>
      <c r="B139" s="25" t="s">
        <v>2835</v>
      </c>
      <c r="C139" s="25" t="s">
        <v>17</v>
      </c>
      <c r="D139" s="25" t="s">
        <v>18</v>
      </c>
      <c r="E139" s="25" t="s">
        <v>66</v>
      </c>
      <c r="F139" s="25" t="s">
        <v>2751</v>
      </c>
      <c r="G139" s="25" t="s">
        <v>2773</v>
      </c>
      <c r="H139" s="25" t="s">
        <v>2835</v>
      </c>
      <c r="I139" s="25" t="s">
        <v>2774</v>
      </c>
      <c r="J139" s="26" t="s">
        <v>2754</v>
      </c>
      <c r="K139" s="26" t="s">
        <v>2755</v>
      </c>
      <c r="L139" s="26">
        <v>123</v>
      </c>
      <c r="M139" s="26" t="s">
        <v>2756</v>
      </c>
    </row>
    <row r="140" spans="1:13" ht="33.6" customHeight="1" x14ac:dyDescent="0.3">
      <c r="A140" s="25" t="s">
        <v>299</v>
      </c>
      <c r="B140" s="25" t="s">
        <v>2835</v>
      </c>
      <c r="C140" s="25" t="s">
        <v>17</v>
      </c>
      <c r="D140" s="25" t="s">
        <v>18</v>
      </c>
      <c r="E140" s="25" t="s">
        <v>66</v>
      </c>
      <c r="F140" s="25" t="s">
        <v>2751</v>
      </c>
      <c r="G140" s="25" t="s">
        <v>2775</v>
      </c>
      <c r="H140" s="25" t="s">
        <v>2835</v>
      </c>
      <c r="I140" s="25" t="s">
        <v>2776</v>
      </c>
      <c r="J140" s="26" t="s">
        <v>2754</v>
      </c>
      <c r="K140" s="26" t="s">
        <v>2755</v>
      </c>
      <c r="L140" s="26">
        <v>123</v>
      </c>
      <c r="M140" s="26" t="s">
        <v>2756</v>
      </c>
    </row>
    <row r="141" spans="1:13" ht="33.6" customHeight="1" x14ac:dyDescent="0.3">
      <c r="A141" s="25" t="s">
        <v>305</v>
      </c>
      <c r="B141" s="25" t="s">
        <v>2836</v>
      </c>
      <c r="C141" s="25" t="s">
        <v>17</v>
      </c>
      <c r="D141" s="25" t="s">
        <v>18</v>
      </c>
      <c r="E141" s="25" t="s">
        <v>66</v>
      </c>
      <c r="F141" s="25" t="s">
        <v>2751</v>
      </c>
      <c r="G141" s="25" t="s">
        <v>2775</v>
      </c>
      <c r="H141" s="25" t="s">
        <v>2836</v>
      </c>
      <c r="I141" s="25" t="s">
        <v>2806</v>
      </c>
      <c r="J141" s="26" t="s">
        <v>2754</v>
      </c>
      <c r="K141" s="26" t="s">
        <v>2755</v>
      </c>
      <c r="L141" s="26">
        <v>123</v>
      </c>
      <c r="M141" s="26" t="s">
        <v>2756</v>
      </c>
    </row>
    <row r="142" spans="1:13" ht="33.6" customHeight="1" x14ac:dyDescent="0.3">
      <c r="A142" s="25" t="s">
        <v>317</v>
      </c>
      <c r="B142" s="25" t="s">
        <v>2837</v>
      </c>
      <c r="C142" s="25" t="s">
        <v>17</v>
      </c>
      <c r="D142" s="25" t="s">
        <v>18</v>
      </c>
      <c r="E142" s="25" t="s">
        <v>66</v>
      </c>
      <c r="F142" s="25" t="s">
        <v>2751</v>
      </c>
      <c r="G142" s="25" t="s">
        <v>2773</v>
      </c>
      <c r="H142" s="25" t="s">
        <v>2837</v>
      </c>
      <c r="I142" s="25" t="s">
        <v>2774</v>
      </c>
      <c r="J142" s="26" t="s">
        <v>2754</v>
      </c>
      <c r="K142" s="26" t="s">
        <v>2755</v>
      </c>
      <c r="L142" s="26">
        <v>123</v>
      </c>
      <c r="M142" s="26" t="s">
        <v>2756</v>
      </c>
    </row>
    <row r="143" spans="1:13" ht="33.6" customHeight="1" x14ac:dyDescent="0.3">
      <c r="A143" s="25" t="s">
        <v>317</v>
      </c>
      <c r="B143" s="25" t="s">
        <v>2837</v>
      </c>
      <c r="C143" s="25" t="s">
        <v>17</v>
      </c>
      <c r="D143" s="25" t="s">
        <v>18</v>
      </c>
      <c r="E143" s="25" t="s">
        <v>66</v>
      </c>
      <c r="F143" s="25" t="s">
        <v>2751</v>
      </c>
      <c r="G143" s="25" t="s">
        <v>2775</v>
      </c>
      <c r="H143" s="25" t="s">
        <v>2837</v>
      </c>
      <c r="I143" s="25" t="s">
        <v>2776</v>
      </c>
      <c r="J143" s="26" t="s">
        <v>2754</v>
      </c>
      <c r="K143" s="26" t="s">
        <v>2755</v>
      </c>
      <c r="L143" s="26">
        <v>123</v>
      </c>
      <c r="M143" s="26" t="s">
        <v>2756</v>
      </c>
    </row>
    <row r="144" spans="1:13" ht="33.6" customHeight="1" x14ac:dyDescent="0.3">
      <c r="A144" s="25" t="s">
        <v>317</v>
      </c>
      <c r="B144" s="25" t="s">
        <v>2837</v>
      </c>
      <c r="C144" s="25" t="s">
        <v>17</v>
      </c>
      <c r="D144" s="25" t="s">
        <v>18</v>
      </c>
      <c r="E144" s="25" t="s">
        <v>66</v>
      </c>
      <c r="F144" s="25" t="s">
        <v>2751</v>
      </c>
      <c r="G144" s="25" t="s">
        <v>2777</v>
      </c>
      <c r="H144" s="25" t="s">
        <v>2837</v>
      </c>
      <c r="I144" s="25" t="s">
        <v>2778</v>
      </c>
      <c r="J144" s="26" t="s">
        <v>2754</v>
      </c>
      <c r="K144" s="26" t="s">
        <v>2755</v>
      </c>
      <c r="L144" s="26">
        <v>123</v>
      </c>
      <c r="M144" s="26" t="s">
        <v>2756</v>
      </c>
    </row>
    <row r="145" spans="1:13" ht="33.6" customHeight="1" x14ac:dyDescent="0.3">
      <c r="A145" s="25" t="s">
        <v>317</v>
      </c>
      <c r="B145" s="25" t="s">
        <v>2837</v>
      </c>
      <c r="C145" s="25" t="s">
        <v>17</v>
      </c>
      <c r="D145" s="25" t="s">
        <v>18</v>
      </c>
      <c r="E145" s="25" t="s">
        <v>127</v>
      </c>
      <c r="F145" s="25" t="s">
        <v>2757</v>
      </c>
      <c r="G145" s="25" t="s">
        <v>2758</v>
      </c>
      <c r="H145" s="25" t="s">
        <v>2837</v>
      </c>
      <c r="I145" s="25" t="s">
        <v>2759</v>
      </c>
      <c r="J145" s="26" t="s">
        <v>2754</v>
      </c>
      <c r="K145" s="26" t="s">
        <v>2755</v>
      </c>
      <c r="L145" s="26">
        <v>127</v>
      </c>
      <c r="M145" s="26" t="s">
        <v>2756</v>
      </c>
    </row>
    <row r="146" spans="1:13" ht="33.6" customHeight="1" x14ac:dyDescent="0.3">
      <c r="A146" s="25" t="s">
        <v>323</v>
      </c>
      <c r="B146" s="25" t="s">
        <v>324</v>
      </c>
      <c r="C146" s="25" t="s">
        <v>17</v>
      </c>
      <c r="D146" s="25" t="s">
        <v>18</v>
      </c>
      <c r="E146" s="25" t="s">
        <v>260</v>
      </c>
      <c r="F146" s="25" t="s">
        <v>2768</v>
      </c>
      <c r="G146" s="25" t="s">
        <v>2790</v>
      </c>
      <c r="H146" s="25" t="s">
        <v>324</v>
      </c>
      <c r="I146" s="25" t="s">
        <v>2791</v>
      </c>
      <c r="J146" s="26" t="s">
        <v>2754</v>
      </c>
      <c r="K146" s="26" t="s">
        <v>2755</v>
      </c>
      <c r="L146" s="26">
        <v>75</v>
      </c>
      <c r="M146" s="26" t="s">
        <v>2756</v>
      </c>
    </row>
    <row r="147" spans="1:13" ht="33.6" customHeight="1" x14ac:dyDescent="0.3">
      <c r="A147" s="25" t="s">
        <v>323</v>
      </c>
      <c r="B147" s="25" t="s">
        <v>324</v>
      </c>
      <c r="C147" s="25" t="s">
        <v>17</v>
      </c>
      <c r="D147" s="25" t="s">
        <v>18</v>
      </c>
      <c r="E147" s="25" t="s">
        <v>66</v>
      </c>
      <c r="F147" s="25" t="s">
        <v>2751</v>
      </c>
      <c r="G147" s="25" t="s">
        <v>2773</v>
      </c>
      <c r="H147" s="25" t="s">
        <v>324</v>
      </c>
      <c r="I147" s="25" t="s">
        <v>2774</v>
      </c>
      <c r="J147" s="26" t="s">
        <v>2754</v>
      </c>
      <c r="K147" s="26" t="s">
        <v>2755</v>
      </c>
      <c r="L147" s="26">
        <v>123</v>
      </c>
      <c r="M147" s="26" t="s">
        <v>2756</v>
      </c>
    </row>
    <row r="148" spans="1:13" ht="33.6" customHeight="1" x14ac:dyDescent="0.3">
      <c r="A148" s="25" t="s">
        <v>323</v>
      </c>
      <c r="B148" s="25" t="s">
        <v>324</v>
      </c>
      <c r="C148" s="25" t="s">
        <v>17</v>
      </c>
      <c r="D148" s="25" t="s">
        <v>18</v>
      </c>
      <c r="E148" s="25" t="s">
        <v>66</v>
      </c>
      <c r="F148" s="25" t="s">
        <v>2751</v>
      </c>
      <c r="G148" s="25" t="s">
        <v>2775</v>
      </c>
      <c r="H148" s="25" t="s">
        <v>324</v>
      </c>
      <c r="I148" s="25" t="s">
        <v>2776</v>
      </c>
      <c r="J148" s="26" t="s">
        <v>2754</v>
      </c>
      <c r="K148" s="26" t="s">
        <v>2755</v>
      </c>
      <c r="L148" s="26">
        <v>123</v>
      </c>
      <c r="M148" s="26" t="s">
        <v>2756</v>
      </c>
    </row>
    <row r="149" spans="1:13" ht="33.6" customHeight="1" x14ac:dyDescent="0.3">
      <c r="A149" s="25" t="s">
        <v>323</v>
      </c>
      <c r="B149" s="25" t="s">
        <v>324</v>
      </c>
      <c r="C149" s="25" t="s">
        <v>17</v>
      </c>
      <c r="D149" s="25" t="s">
        <v>18</v>
      </c>
      <c r="E149" s="25" t="s">
        <v>66</v>
      </c>
      <c r="F149" s="25" t="s">
        <v>2751</v>
      </c>
      <c r="G149" s="25" t="s">
        <v>2752</v>
      </c>
      <c r="H149" s="25" t="s">
        <v>324</v>
      </c>
      <c r="I149" s="25" t="s">
        <v>2753</v>
      </c>
      <c r="J149" s="26" t="s">
        <v>2754</v>
      </c>
      <c r="K149" s="26" t="s">
        <v>2755</v>
      </c>
      <c r="L149" s="26">
        <v>123</v>
      </c>
      <c r="M149" s="26" t="s">
        <v>2756</v>
      </c>
    </row>
    <row r="150" spans="1:13" ht="33.6" customHeight="1" x14ac:dyDescent="0.3">
      <c r="A150" s="25" t="s">
        <v>323</v>
      </c>
      <c r="B150" s="25" t="s">
        <v>324</v>
      </c>
      <c r="C150" s="25" t="s">
        <v>17</v>
      </c>
      <c r="D150" s="25" t="s">
        <v>18</v>
      </c>
      <c r="E150" s="25" t="s">
        <v>127</v>
      </c>
      <c r="F150" s="25" t="s">
        <v>2757</v>
      </c>
      <c r="G150" s="25" t="s">
        <v>2792</v>
      </c>
      <c r="H150" s="25" t="s">
        <v>324</v>
      </c>
      <c r="I150" s="25" t="s">
        <v>2793</v>
      </c>
      <c r="J150" s="26" t="s">
        <v>2754</v>
      </c>
      <c r="K150" s="26" t="s">
        <v>2755</v>
      </c>
      <c r="L150" s="26">
        <v>127</v>
      </c>
      <c r="M150" s="26" t="s">
        <v>2756</v>
      </c>
    </row>
    <row r="151" spans="1:13" ht="33.6" customHeight="1" x14ac:dyDescent="0.3">
      <c r="A151" s="25" t="s">
        <v>329</v>
      </c>
      <c r="B151" s="25" t="s">
        <v>330</v>
      </c>
      <c r="C151" s="25" t="s">
        <v>17</v>
      </c>
      <c r="D151" s="25" t="s">
        <v>18</v>
      </c>
      <c r="E151" s="25" t="s">
        <v>260</v>
      </c>
      <c r="F151" s="25" t="s">
        <v>2768</v>
      </c>
      <c r="G151" s="25" t="s">
        <v>2769</v>
      </c>
      <c r="H151" s="25" t="s">
        <v>330</v>
      </c>
      <c r="I151" s="25" t="s">
        <v>2770</v>
      </c>
      <c r="J151" s="26" t="s">
        <v>2754</v>
      </c>
      <c r="K151" s="26" t="s">
        <v>2755</v>
      </c>
      <c r="L151" s="26">
        <v>75</v>
      </c>
      <c r="M151" s="26" t="s">
        <v>2756</v>
      </c>
    </row>
    <row r="152" spans="1:13" ht="33.6" customHeight="1" x14ac:dyDescent="0.3">
      <c r="A152" s="25" t="s">
        <v>329</v>
      </c>
      <c r="B152" s="25" t="s">
        <v>330</v>
      </c>
      <c r="C152" s="25" t="s">
        <v>17</v>
      </c>
      <c r="D152" s="25" t="s">
        <v>18</v>
      </c>
      <c r="E152" s="25" t="s">
        <v>260</v>
      </c>
      <c r="F152" s="25" t="s">
        <v>2768</v>
      </c>
      <c r="G152" s="25" t="s">
        <v>2771</v>
      </c>
      <c r="H152" s="25" t="s">
        <v>330</v>
      </c>
      <c r="I152" s="25" t="s">
        <v>2772</v>
      </c>
      <c r="J152" s="26" t="s">
        <v>2754</v>
      </c>
      <c r="K152" s="26" t="s">
        <v>2755</v>
      </c>
      <c r="L152" s="26">
        <v>75</v>
      </c>
      <c r="M152" s="26" t="s">
        <v>2756</v>
      </c>
    </row>
    <row r="153" spans="1:13" ht="33.6" customHeight="1" x14ac:dyDescent="0.3">
      <c r="A153" s="25" t="s">
        <v>329</v>
      </c>
      <c r="B153" s="25" t="s">
        <v>330</v>
      </c>
      <c r="C153" s="25" t="s">
        <v>17</v>
      </c>
      <c r="D153" s="25" t="s">
        <v>18</v>
      </c>
      <c r="E153" s="25" t="s">
        <v>66</v>
      </c>
      <c r="F153" s="25" t="s">
        <v>2751</v>
      </c>
      <c r="G153" s="25" t="s">
        <v>2794</v>
      </c>
      <c r="H153" s="25" t="s">
        <v>330</v>
      </c>
      <c r="I153" s="25" t="s">
        <v>2795</v>
      </c>
      <c r="J153" s="26" t="s">
        <v>2754</v>
      </c>
      <c r="K153" s="26" t="s">
        <v>2755</v>
      </c>
      <c r="L153" s="26">
        <v>123</v>
      </c>
      <c r="M153" s="26" t="s">
        <v>2756</v>
      </c>
    </row>
    <row r="154" spans="1:13" ht="33.6" customHeight="1" x14ac:dyDescent="0.3">
      <c r="A154" s="25" t="s">
        <v>329</v>
      </c>
      <c r="B154" s="25" t="s">
        <v>330</v>
      </c>
      <c r="C154" s="25" t="s">
        <v>17</v>
      </c>
      <c r="D154" s="25" t="s">
        <v>18</v>
      </c>
      <c r="E154" s="25" t="s">
        <v>66</v>
      </c>
      <c r="F154" s="25" t="s">
        <v>2751</v>
      </c>
      <c r="G154" s="25" t="s">
        <v>2773</v>
      </c>
      <c r="H154" s="25" t="s">
        <v>330</v>
      </c>
      <c r="I154" s="25" t="s">
        <v>2774</v>
      </c>
      <c r="J154" s="26" t="s">
        <v>2754</v>
      </c>
      <c r="K154" s="26" t="s">
        <v>2755</v>
      </c>
      <c r="L154" s="26">
        <v>123</v>
      </c>
      <c r="M154" s="26" t="s">
        <v>2756</v>
      </c>
    </row>
    <row r="155" spans="1:13" ht="33.6" customHeight="1" x14ac:dyDescent="0.3">
      <c r="A155" s="25" t="s">
        <v>329</v>
      </c>
      <c r="B155" s="25" t="s">
        <v>330</v>
      </c>
      <c r="C155" s="25" t="s">
        <v>17</v>
      </c>
      <c r="D155" s="25" t="s">
        <v>18</v>
      </c>
      <c r="E155" s="25" t="s">
        <v>66</v>
      </c>
      <c r="F155" s="25" t="s">
        <v>2751</v>
      </c>
      <c r="G155" s="25" t="s">
        <v>2775</v>
      </c>
      <c r="H155" s="25" t="s">
        <v>330</v>
      </c>
      <c r="I155" s="25" t="s">
        <v>2776</v>
      </c>
      <c r="J155" s="26" t="s">
        <v>2754</v>
      </c>
      <c r="K155" s="26" t="s">
        <v>2755</v>
      </c>
      <c r="L155" s="26">
        <v>123</v>
      </c>
      <c r="M155" s="26" t="s">
        <v>2756</v>
      </c>
    </row>
    <row r="156" spans="1:13" ht="33.6" customHeight="1" x14ac:dyDescent="0.3">
      <c r="A156" s="25" t="s">
        <v>329</v>
      </c>
      <c r="B156" s="25" t="s">
        <v>330</v>
      </c>
      <c r="C156" s="25" t="s">
        <v>17</v>
      </c>
      <c r="D156" s="25" t="s">
        <v>18</v>
      </c>
      <c r="E156" s="25" t="s">
        <v>66</v>
      </c>
      <c r="F156" s="25" t="s">
        <v>2751</v>
      </c>
      <c r="G156" s="25" t="s">
        <v>2777</v>
      </c>
      <c r="H156" s="25" t="s">
        <v>330</v>
      </c>
      <c r="I156" s="25" t="s">
        <v>2778</v>
      </c>
      <c r="J156" s="26" t="s">
        <v>2754</v>
      </c>
      <c r="K156" s="26" t="s">
        <v>2755</v>
      </c>
      <c r="L156" s="26">
        <v>123</v>
      </c>
      <c r="M156" s="26" t="s">
        <v>2756</v>
      </c>
    </row>
    <row r="157" spans="1:13" ht="33.6" customHeight="1" x14ac:dyDescent="0.3">
      <c r="A157" s="25" t="s">
        <v>329</v>
      </c>
      <c r="B157" s="25" t="s">
        <v>330</v>
      </c>
      <c r="C157" s="25" t="s">
        <v>17</v>
      </c>
      <c r="D157" s="25" t="s">
        <v>18</v>
      </c>
      <c r="E157" s="25" t="s">
        <v>127</v>
      </c>
      <c r="F157" s="25" t="s">
        <v>2757</v>
      </c>
      <c r="G157" s="25" t="s">
        <v>2838</v>
      </c>
      <c r="H157" s="25" t="s">
        <v>330</v>
      </c>
      <c r="I157" s="25" t="s">
        <v>2839</v>
      </c>
      <c r="J157" s="26" t="s">
        <v>2754</v>
      </c>
      <c r="K157" s="26" t="s">
        <v>2755</v>
      </c>
      <c r="L157" s="26">
        <v>127</v>
      </c>
      <c r="M157" s="26" t="s">
        <v>2756</v>
      </c>
    </row>
    <row r="158" spans="1:13" ht="33.6" customHeight="1" x14ac:dyDescent="0.3">
      <c r="A158" s="25" t="s">
        <v>335</v>
      </c>
      <c r="B158" s="25" t="s">
        <v>336</v>
      </c>
      <c r="C158" s="25" t="s">
        <v>17</v>
      </c>
      <c r="D158" s="25" t="s">
        <v>18</v>
      </c>
      <c r="E158" s="25" t="s">
        <v>260</v>
      </c>
      <c r="F158" s="25" t="s">
        <v>2768</v>
      </c>
      <c r="G158" s="25" t="s">
        <v>2788</v>
      </c>
      <c r="H158" s="25" t="s">
        <v>336</v>
      </c>
      <c r="I158" s="25" t="s">
        <v>2789</v>
      </c>
      <c r="J158" s="26" t="s">
        <v>2754</v>
      </c>
      <c r="K158" s="26" t="s">
        <v>2755</v>
      </c>
      <c r="L158" s="26">
        <v>75</v>
      </c>
      <c r="M158" s="26" t="s">
        <v>2756</v>
      </c>
    </row>
    <row r="159" spans="1:13" ht="33.6" customHeight="1" x14ac:dyDescent="0.3">
      <c r="A159" s="25" t="s">
        <v>335</v>
      </c>
      <c r="B159" s="25" t="s">
        <v>336</v>
      </c>
      <c r="C159" s="25" t="s">
        <v>17</v>
      </c>
      <c r="D159" s="25" t="s">
        <v>18</v>
      </c>
      <c r="E159" s="25" t="s">
        <v>260</v>
      </c>
      <c r="F159" s="25" t="s">
        <v>2768</v>
      </c>
      <c r="G159" s="25" t="s">
        <v>2801</v>
      </c>
      <c r="H159" s="25" t="s">
        <v>336</v>
      </c>
      <c r="I159" s="25" t="s">
        <v>2802</v>
      </c>
      <c r="J159" s="26" t="s">
        <v>2754</v>
      </c>
      <c r="K159" s="26" t="s">
        <v>2755</v>
      </c>
      <c r="L159" s="26">
        <v>75</v>
      </c>
      <c r="M159" s="26" t="s">
        <v>2756</v>
      </c>
    </row>
    <row r="160" spans="1:13" ht="33.6" customHeight="1" x14ac:dyDescent="0.3">
      <c r="A160" s="25" t="s">
        <v>335</v>
      </c>
      <c r="B160" s="25" t="s">
        <v>336</v>
      </c>
      <c r="C160" s="25" t="s">
        <v>17</v>
      </c>
      <c r="D160" s="25" t="s">
        <v>18</v>
      </c>
      <c r="E160" s="25" t="s">
        <v>127</v>
      </c>
      <c r="F160" s="25" t="s">
        <v>2757</v>
      </c>
      <c r="G160" s="25" t="s">
        <v>2760</v>
      </c>
      <c r="H160" s="25" t="s">
        <v>336</v>
      </c>
      <c r="I160" s="25" t="s">
        <v>2761</v>
      </c>
      <c r="J160" s="26" t="s">
        <v>2754</v>
      </c>
      <c r="K160" s="26" t="s">
        <v>2755</v>
      </c>
      <c r="L160" s="26">
        <v>127</v>
      </c>
      <c r="M160" s="26" t="s">
        <v>2756</v>
      </c>
    </row>
    <row r="161" spans="1:13" ht="33.6" customHeight="1" x14ac:dyDescent="0.3">
      <c r="A161" s="25" t="s">
        <v>335</v>
      </c>
      <c r="B161" s="25" t="s">
        <v>336</v>
      </c>
      <c r="C161" s="25" t="s">
        <v>17</v>
      </c>
      <c r="D161" s="25" t="s">
        <v>18</v>
      </c>
      <c r="E161" s="25" t="s">
        <v>127</v>
      </c>
      <c r="F161" s="25" t="s">
        <v>2757</v>
      </c>
      <c r="G161" s="25" t="s">
        <v>2796</v>
      </c>
      <c r="H161" s="25" t="s">
        <v>336</v>
      </c>
      <c r="I161" s="25" t="s">
        <v>2797</v>
      </c>
      <c r="J161" s="26" t="s">
        <v>2754</v>
      </c>
      <c r="K161" s="26" t="s">
        <v>2755</v>
      </c>
      <c r="L161" s="26">
        <v>127</v>
      </c>
      <c r="M161" s="26" t="s">
        <v>2756</v>
      </c>
    </row>
    <row r="162" spans="1:13" ht="33.6" customHeight="1" x14ac:dyDescent="0.3">
      <c r="A162" s="25" t="s">
        <v>347</v>
      </c>
      <c r="B162" s="25" t="s">
        <v>2840</v>
      </c>
      <c r="C162" s="25" t="s">
        <v>17</v>
      </c>
      <c r="D162" s="25" t="s">
        <v>18</v>
      </c>
      <c r="E162" s="25" t="s">
        <v>260</v>
      </c>
      <c r="F162" s="25" t="s">
        <v>2768</v>
      </c>
      <c r="G162" s="25" t="s">
        <v>2769</v>
      </c>
      <c r="H162" s="25" t="s">
        <v>2840</v>
      </c>
      <c r="I162" s="25" t="s">
        <v>2815</v>
      </c>
      <c r="J162" s="26" t="s">
        <v>2754</v>
      </c>
      <c r="K162" s="26" t="s">
        <v>2755</v>
      </c>
      <c r="L162" s="26">
        <v>75</v>
      </c>
      <c r="M162" s="26" t="s">
        <v>2756</v>
      </c>
    </row>
    <row r="163" spans="1:13" ht="33.6" customHeight="1" x14ac:dyDescent="0.3">
      <c r="A163" s="25" t="s">
        <v>347</v>
      </c>
      <c r="B163" s="25" t="s">
        <v>2840</v>
      </c>
      <c r="C163" s="25" t="s">
        <v>17</v>
      </c>
      <c r="D163" s="25" t="s">
        <v>18</v>
      </c>
      <c r="E163" s="25" t="s">
        <v>66</v>
      </c>
      <c r="F163" s="25" t="s">
        <v>2751</v>
      </c>
      <c r="G163" s="25" t="s">
        <v>2773</v>
      </c>
      <c r="H163" s="25" t="s">
        <v>2840</v>
      </c>
      <c r="I163" s="25" t="s">
        <v>2774</v>
      </c>
      <c r="J163" s="26" t="s">
        <v>2754</v>
      </c>
      <c r="K163" s="26" t="s">
        <v>2755</v>
      </c>
      <c r="L163" s="26">
        <v>123</v>
      </c>
      <c r="M163" s="26" t="s">
        <v>2756</v>
      </c>
    </row>
    <row r="164" spans="1:13" ht="33.6" customHeight="1" x14ac:dyDescent="0.3">
      <c r="A164" s="25" t="s">
        <v>347</v>
      </c>
      <c r="B164" s="25" t="s">
        <v>2840</v>
      </c>
      <c r="C164" s="25" t="s">
        <v>17</v>
      </c>
      <c r="D164" s="25" t="s">
        <v>18</v>
      </c>
      <c r="E164" s="25" t="s">
        <v>66</v>
      </c>
      <c r="F164" s="25" t="s">
        <v>2751</v>
      </c>
      <c r="G164" s="25" t="s">
        <v>2775</v>
      </c>
      <c r="H164" s="25" t="s">
        <v>2840</v>
      </c>
      <c r="I164" s="25" t="s">
        <v>2776</v>
      </c>
      <c r="J164" s="26" t="s">
        <v>2754</v>
      </c>
      <c r="K164" s="26" t="s">
        <v>2755</v>
      </c>
      <c r="L164" s="26">
        <v>123</v>
      </c>
      <c r="M164" s="26" t="s">
        <v>2756</v>
      </c>
    </row>
    <row r="165" spans="1:13" ht="33.6" customHeight="1" x14ac:dyDescent="0.3">
      <c r="A165" s="25" t="s">
        <v>360</v>
      </c>
      <c r="B165" s="25" t="s">
        <v>361</v>
      </c>
      <c r="C165" s="25" t="s">
        <v>17</v>
      </c>
      <c r="D165" s="25" t="s">
        <v>18</v>
      </c>
      <c r="E165" s="25" t="s">
        <v>260</v>
      </c>
      <c r="F165" s="25" t="s">
        <v>2768</v>
      </c>
      <c r="G165" s="25" t="s">
        <v>2769</v>
      </c>
      <c r="H165" s="25" t="s">
        <v>361</v>
      </c>
      <c r="I165" s="25" t="s">
        <v>2770</v>
      </c>
      <c r="J165" s="26" t="s">
        <v>2754</v>
      </c>
      <c r="K165" s="26" t="s">
        <v>2755</v>
      </c>
      <c r="L165" s="26">
        <v>75</v>
      </c>
      <c r="M165" s="26" t="s">
        <v>2756</v>
      </c>
    </row>
    <row r="166" spans="1:13" ht="33.6" customHeight="1" x14ac:dyDescent="0.3">
      <c r="A166" s="25" t="s">
        <v>360</v>
      </c>
      <c r="B166" s="25" t="s">
        <v>361</v>
      </c>
      <c r="C166" s="25" t="s">
        <v>17</v>
      </c>
      <c r="D166" s="25" t="s">
        <v>18</v>
      </c>
      <c r="E166" s="25" t="s">
        <v>51</v>
      </c>
      <c r="F166" s="25" t="s">
        <v>2809</v>
      </c>
      <c r="G166" s="25" t="s">
        <v>2810</v>
      </c>
      <c r="H166" s="25" t="s">
        <v>361</v>
      </c>
      <c r="I166" s="25" t="s">
        <v>2811</v>
      </c>
      <c r="J166" s="26" t="s">
        <v>2754</v>
      </c>
      <c r="K166" s="26" t="s">
        <v>2755</v>
      </c>
      <c r="L166" s="26">
        <v>21</v>
      </c>
      <c r="M166" s="26" t="s">
        <v>2756</v>
      </c>
    </row>
    <row r="167" spans="1:13" ht="33.6" customHeight="1" x14ac:dyDescent="0.3">
      <c r="A167" s="25" t="s">
        <v>360</v>
      </c>
      <c r="B167" s="25" t="s">
        <v>361</v>
      </c>
      <c r="C167" s="25" t="s">
        <v>17</v>
      </c>
      <c r="D167" s="25" t="s">
        <v>18</v>
      </c>
      <c r="E167" s="25" t="s">
        <v>66</v>
      </c>
      <c r="F167" s="25" t="s">
        <v>2751</v>
      </c>
      <c r="G167" s="25" t="s">
        <v>2775</v>
      </c>
      <c r="H167" s="25" t="s">
        <v>361</v>
      </c>
      <c r="I167" s="25" t="s">
        <v>2806</v>
      </c>
      <c r="J167" s="26" t="s">
        <v>2754</v>
      </c>
      <c r="K167" s="26" t="s">
        <v>2755</v>
      </c>
      <c r="L167" s="26">
        <v>123</v>
      </c>
      <c r="M167" s="26" t="s">
        <v>2756</v>
      </c>
    </row>
    <row r="168" spans="1:13" ht="33.6" customHeight="1" x14ac:dyDescent="0.3">
      <c r="A168" s="25" t="s">
        <v>366</v>
      </c>
      <c r="B168" s="25" t="s">
        <v>2841</v>
      </c>
      <c r="C168" s="25" t="s">
        <v>17</v>
      </c>
      <c r="D168" s="25" t="s">
        <v>18</v>
      </c>
      <c r="E168" s="25" t="s">
        <v>210</v>
      </c>
      <c r="F168" s="25" t="s">
        <v>2765</v>
      </c>
      <c r="G168" s="25" t="s">
        <v>2780</v>
      </c>
      <c r="H168" s="25" t="s">
        <v>2841</v>
      </c>
      <c r="I168" s="25" t="s">
        <v>2781</v>
      </c>
      <c r="J168" s="26" t="s">
        <v>2754</v>
      </c>
      <c r="K168" s="26" t="s">
        <v>2755</v>
      </c>
      <c r="L168" s="26">
        <v>38</v>
      </c>
      <c r="M168" s="26" t="s">
        <v>2756</v>
      </c>
    </row>
    <row r="169" spans="1:13" ht="33.6" customHeight="1" x14ac:dyDescent="0.3">
      <c r="A169" s="25" t="s">
        <v>366</v>
      </c>
      <c r="B169" s="25" t="s">
        <v>2841</v>
      </c>
      <c r="C169" s="25" t="s">
        <v>17</v>
      </c>
      <c r="D169" s="25" t="s">
        <v>18</v>
      </c>
      <c r="E169" s="25" t="s">
        <v>260</v>
      </c>
      <c r="F169" s="25" t="s">
        <v>2768</v>
      </c>
      <c r="G169" s="25" t="s">
        <v>2790</v>
      </c>
      <c r="H169" s="25" t="s">
        <v>2841</v>
      </c>
      <c r="I169" s="25" t="s">
        <v>2791</v>
      </c>
      <c r="J169" s="26" t="s">
        <v>2754</v>
      </c>
      <c r="K169" s="26" t="s">
        <v>2755</v>
      </c>
      <c r="L169" s="26">
        <v>75</v>
      </c>
      <c r="M169" s="26" t="s">
        <v>2756</v>
      </c>
    </row>
    <row r="170" spans="1:13" ht="33.6" customHeight="1" x14ac:dyDescent="0.3">
      <c r="A170" s="25" t="s">
        <v>366</v>
      </c>
      <c r="B170" s="25" t="s">
        <v>2841</v>
      </c>
      <c r="C170" s="25" t="s">
        <v>17</v>
      </c>
      <c r="D170" s="25" t="s">
        <v>18</v>
      </c>
      <c r="E170" s="25" t="s">
        <v>66</v>
      </c>
      <c r="F170" s="25" t="s">
        <v>2751</v>
      </c>
      <c r="G170" s="25" t="s">
        <v>2752</v>
      </c>
      <c r="H170" s="25" t="s">
        <v>2841</v>
      </c>
      <c r="I170" s="25" t="s">
        <v>2753</v>
      </c>
      <c r="J170" s="26" t="s">
        <v>2754</v>
      </c>
      <c r="K170" s="26" t="s">
        <v>2755</v>
      </c>
      <c r="L170" s="26">
        <v>123</v>
      </c>
      <c r="M170" s="26" t="s">
        <v>2756</v>
      </c>
    </row>
    <row r="171" spans="1:13" ht="33.6" customHeight="1" x14ac:dyDescent="0.3">
      <c r="A171" s="25" t="s">
        <v>366</v>
      </c>
      <c r="B171" s="25" t="s">
        <v>2841</v>
      </c>
      <c r="C171" s="25" t="s">
        <v>17</v>
      </c>
      <c r="D171" s="25" t="s">
        <v>18</v>
      </c>
      <c r="E171" s="25" t="s">
        <v>127</v>
      </c>
      <c r="F171" s="25" t="s">
        <v>2757</v>
      </c>
      <c r="G171" s="25" t="s">
        <v>2786</v>
      </c>
      <c r="H171" s="25" t="s">
        <v>2841</v>
      </c>
      <c r="I171" s="25" t="s">
        <v>2787</v>
      </c>
      <c r="J171" s="26" t="s">
        <v>2754</v>
      </c>
      <c r="K171" s="26" t="s">
        <v>2755</v>
      </c>
      <c r="L171" s="26">
        <v>127</v>
      </c>
      <c r="M171" s="26" t="s">
        <v>2756</v>
      </c>
    </row>
    <row r="172" spans="1:13" ht="33.6" customHeight="1" x14ac:dyDescent="0.3">
      <c r="A172" s="25" t="s">
        <v>378</v>
      </c>
      <c r="B172" s="25" t="s">
        <v>2842</v>
      </c>
      <c r="C172" s="25" t="s">
        <v>17</v>
      </c>
      <c r="D172" s="25" t="s">
        <v>18</v>
      </c>
      <c r="E172" s="25" t="s">
        <v>260</v>
      </c>
      <c r="F172" s="25" t="s">
        <v>2768</v>
      </c>
      <c r="G172" s="25" t="s">
        <v>2769</v>
      </c>
      <c r="H172" s="25" t="s">
        <v>2842</v>
      </c>
      <c r="I172" s="25" t="s">
        <v>2815</v>
      </c>
      <c r="J172" s="26" t="s">
        <v>2754</v>
      </c>
      <c r="K172" s="26" t="s">
        <v>2755</v>
      </c>
      <c r="L172" s="26">
        <v>75</v>
      </c>
      <c r="M172" s="26" t="s">
        <v>2756</v>
      </c>
    </row>
    <row r="173" spans="1:13" ht="33.6" customHeight="1" x14ac:dyDescent="0.3">
      <c r="A173" s="25" t="s">
        <v>378</v>
      </c>
      <c r="B173" s="25" t="s">
        <v>2842</v>
      </c>
      <c r="C173" s="25" t="s">
        <v>17</v>
      </c>
      <c r="D173" s="25" t="s">
        <v>18</v>
      </c>
      <c r="E173" s="25" t="s">
        <v>66</v>
      </c>
      <c r="F173" s="25" t="s">
        <v>2751</v>
      </c>
      <c r="G173" s="25" t="s">
        <v>2773</v>
      </c>
      <c r="H173" s="25" t="s">
        <v>2842</v>
      </c>
      <c r="I173" s="25" t="s">
        <v>2774</v>
      </c>
      <c r="J173" s="26" t="s">
        <v>2754</v>
      </c>
      <c r="K173" s="26" t="s">
        <v>2755</v>
      </c>
      <c r="L173" s="26">
        <v>123</v>
      </c>
      <c r="M173" s="26" t="s">
        <v>2756</v>
      </c>
    </row>
    <row r="174" spans="1:13" ht="33.6" customHeight="1" x14ac:dyDescent="0.3">
      <c r="A174" s="25" t="s">
        <v>378</v>
      </c>
      <c r="B174" s="25" t="s">
        <v>2842</v>
      </c>
      <c r="C174" s="25" t="s">
        <v>17</v>
      </c>
      <c r="D174" s="25" t="s">
        <v>18</v>
      </c>
      <c r="E174" s="25" t="s">
        <v>66</v>
      </c>
      <c r="F174" s="25" t="s">
        <v>2751</v>
      </c>
      <c r="G174" s="25" t="s">
        <v>2775</v>
      </c>
      <c r="H174" s="25" t="s">
        <v>2842</v>
      </c>
      <c r="I174" s="25" t="s">
        <v>2776</v>
      </c>
      <c r="J174" s="26" t="s">
        <v>2754</v>
      </c>
      <c r="K174" s="26" t="s">
        <v>2755</v>
      </c>
      <c r="L174" s="26">
        <v>123</v>
      </c>
      <c r="M174" s="26" t="s">
        <v>2756</v>
      </c>
    </row>
    <row r="175" spans="1:13" ht="33.6" customHeight="1" x14ac:dyDescent="0.3">
      <c r="A175" s="25" t="s">
        <v>378</v>
      </c>
      <c r="B175" s="25" t="s">
        <v>2842</v>
      </c>
      <c r="C175" s="25" t="s">
        <v>17</v>
      </c>
      <c r="D175" s="25" t="s">
        <v>18</v>
      </c>
      <c r="E175" s="25" t="s">
        <v>127</v>
      </c>
      <c r="F175" s="25" t="s">
        <v>2757</v>
      </c>
      <c r="G175" s="25" t="s">
        <v>2792</v>
      </c>
      <c r="H175" s="25" t="s">
        <v>2842</v>
      </c>
      <c r="I175" s="25" t="s">
        <v>2793</v>
      </c>
      <c r="J175" s="26" t="s">
        <v>2754</v>
      </c>
      <c r="K175" s="26" t="s">
        <v>2755</v>
      </c>
      <c r="L175" s="26">
        <v>127</v>
      </c>
      <c r="M175" s="26" t="s">
        <v>2756</v>
      </c>
    </row>
    <row r="176" spans="1:13" ht="33.6" customHeight="1" x14ac:dyDescent="0.3">
      <c r="A176" s="25" t="s">
        <v>384</v>
      </c>
      <c r="B176" s="25" t="s">
        <v>385</v>
      </c>
      <c r="C176" s="25" t="s">
        <v>17</v>
      </c>
      <c r="D176" s="25" t="s">
        <v>18</v>
      </c>
      <c r="E176" s="25" t="s">
        <v>260</v>
      </c>
      <c r="F176" s="25" t="s">
        <v>2768</v>
      </c>
      <c r="G176" s="25" t="s">
        <v>2769</v>
      </c>
      <c r="H176" s="25" t="s">
        <v>385</v>
      </c>
      <c r="I176" s="25" t="s">
        <v>2770</v>
      </c>
      <c r="J176" s="26" t="s">
        <v>2754</v>
      </c>
      <c r="K176" s="26" t="s">
        <v>2755</v>
      </c>
      <c r="L176" s="26">
        <v>75</v>
      </c>
      <c r="M176" s="26" t="s">
        <v>2756</v>
      </c>
    </row>
    <row r="177" spans="1:13" ht="33.6" customHeight="1" x14ac:dyDescent="0.3">
      <c r="A177" s="25" t="s">
        <v>384</v>
      </c>
      <c r="B177" s="25" t="s">
        <v>385</v>
      </c>
      <c r="C177" s="25" t="s">
        <v>17</v>
      </c>
      <c r="D177" s="25" t="s">
        <v>18</v>
      </c>
      <c r="E177" s="25" t="s">
        <v>260</v>
      </c>
      <c r="F177" s="25" t="s">
        <v>2768</v>
      </c>
      <c r="G177" s="25" t="s">
        <v>2788</v>
      </c>
      <c r="H177" s="25" t="s">
        <v>385</v>
      </c>
      <c r="I177" s="25" t="s">
        <v>2789</v>
      </c>
      <c r="J177" s="26" t="s">
        <v>2754</v>
      </c>
      <c r="K177" s="26" t="s">
        <v>2755</v>
      </c>
      <c r="L177" s="26">
        <v>75</v>
      </c>
      <c r="M177" s="26" t="s">
        <v>2756</v>
      </c>
    </row>
    <row r="178" spans="1:13" ht="33.6" customHeight="1" x14ac:dyDescent="0.3">
      <c r="A178" s="25" t="s">
        <v>384</v>
      </c>
      <c r="B178" s="25" t="s">
        <v>385</v>
      </c>
      <c r="C178" s="25" t="s">
        <v>17</v>
      </c>
      <c r="D178" s="25" t="s">
        <v>18</v>
      </c>
      <c r="E178" s="25" t="s">
        <v>260</v>
      </c>
      <c r="F178" s="25" t="s">
        <v>2768</v>
      </c>
      <c r="G178" s="25" t="s">
        <v>2801</v>
      </c>
      <c r="H178" s="25" t="s">
        <v>385</v>
      </c>
      <c r="I178" s="25" t="s">
        <v>2802</v>
      </c>
      <c r="J178" s="26" t="s">
        <v>2754</v>
      </c>
      <c r="K178" s="26" t="s">
        <v>2755</v>
      </c>
      <c r="L178" s="26">
        <v>75</v>
      </c>
      <c r="M178" s="26" t="s">
        <v>2756</v>
      </c>
    </row>
    <row r="179" spans="1:13" ht="33.6" customHeight="1" x14ac:dyDescent="0.3">
      <c r="A179" s="25" t="s">
        <v>384</v>
      </c>
      <c r="B179" s="25" t="s">
        <v>385</v>
      </c>
      <c r="C179" s="25" t="s">
        <v>17</v>
      </c>
      <c r="D179" s="25" t="s">
        <v>18</v>
      </c>
      <c r="E179" s="25" t="s">
        <v>66</v>
      </c>
      <c r="F179" s="25" t="s">
        <v>2751</v>
      </c>
      <c r="G179" s="25" t="s">
        <v>2773</v>
      </c>
      <c r="H179" s="25" t="s">
        <v>385</v>
      </c>
      <c r="I179" s="25" t="s">
        <v>2774</v>
      </c>
      <c r="J179" s="26" t="s">
        <v>2754</v>
      </c>
      <c r="K179" s="26" t="s">
        <v>2755</v>
      </c>
      <c r="L179" s="26">
        <v>123</v>
      </c>
      <c r="M179" s="26" t="s">
        <v>2756</v>
      </c>
    </row>
    <row r="180" spans="1:13" ht="33.6" customHeight="1" x14ac:dyDescent="0.3">
      <c r="A180" s="25" t="s">
        <v>384</v>
      </c>
      <c r="B180" s="25" t="s">
        <v>385</v>
      </c>
      <c r="C180" s="25" t="s">
        <v>17</v>
      </c>
      <c r="D180" s="25" t="s">
        <v>18</v>
      </c>
      <c r="E180" s="25" t="s">
        <v>66</v>
      </c>
      <c r="F180" s="25" t="s">
        <v>2751</v>
      </c>
      <c r="G180" s="25" t="s">
        <v>2775</v>
      </c>
      <c r="H180" s="25" t="s">
        <v>385</v>
      </c>
      <c r="I180" s="25" t="s">
        <v>2776</v>
      </c>
      <c r="J180" s="26" t="s">
        <v>2754</v>
      </c>
      <c r="K180" s="26" t="s">
        <v>2755</v>
      </c>
      <c r="L180" s="26">
        <v>123</v>
      </c>
      <c r="M180" s="26" t="s">
        <v>2756</v>
      </c>
    </row>
    <row r="181" spans="1:13" ht="33.6" customHeight="1" x14ac:dyDescent="0.3">
      <c r="A181" s="25" t="s">
        <v>384</v>
      </c>
      <c r="B181" s="25" t="s">
        <v>385</v>
      </c>
      <c r="C181" s="25" t="s">
        <v>17</v>
      </c>
      <c r="D181" s="25" t="s">
        <v>18</v>
      </c>
      <c r="E181" s="25" t="s">
        <v>127</v>
      </c>
      <c r="F181" s="25" t="s">
        <v>2757</v>
      </c>
      <c r="G181" s="25" t="s">
        <v>2796</v>
      </c>
      <c r="H181" s="25" t="s">
        <v>385</v>
      </c>
      <c r="I181" s="25" t="s">
        <v>2797</v>
      </c>
      <c r="J181" s="26" t="s">
        <v>2754</v>
      </c>
      <c r="K181" s="26" t="s">
        <v>2755</v>
      </c>
      <c r="L181" s="26">
        <v>127</v>
      </c>
      <c r="M181" s="26" t="s">
        <v>2756</v>
      </c>
    </row>
    <row r="182" spans="1:13" ht="33.6" customHeight="1" x14ac:dyDescent="0.3">
      <c r="A182" s="25" t="s">
        <v>390</v>
      </c>
      <c r="B182" s="25" t="s">
        <v>2843</v>
      </c>
      <c r="C182" s="25" t="s">
        <v>17</v>
      </c>
      <c r="D182" s="25" t="s">
        <v>18</v>
      </c>
      <c r="E182" s="25" t="s">
        <v>66</v>
      </c>
      <c r="F182" s="25" t="s">
        <v>2751</v>
      </c>
      <c r="G182" s="25" t="s">
        <v>2773</v>
      </c>
      <c r="H182" s="25" t="s">
        <v>2843</v>
      </c>
      <c r="I182" s="25" t="s">
        <v>2774</v>
      </c>
      <c r="J182" s="26" t="s">
        <v>2754</v>
      </c>
      <c r="K182" s="26" t="s">
        <v>2755</v>
      </c>
      <c r="L182" s="26">
        <v>123</v>
      </c>
      <c r="M182" s="26" t="s">
        <v>2756</v>
      </c>
    </row>
    <row r="183" spans="1:13" ht="33.6" customHeight="1" x14ac:dyDescent="0.3">
      <c r="A183" s="25" t="s">
        <v>390</v>
      </c>
      <c r="B183" s="25" t="s">
        <v>2843</v>
      </c>
      <c r="C183" s="25" t="s">
        <v>17</v>
      </c>
      <c r="D183" s="25" t="s">
        <v>18</v>
      </c>
      <c r="E183" s="25" t="s">
        <v>66</v>
      </c>
      <c r="F183" s="25" t="s">
        <v>2751</v>
      </c>
      <c r="G183" s="25" t="s">
        <v>2775</v>
      </c>
      <c r="H183" s="25" t="s">
        <v>2843</v>
      </c>
      <c r="I183" s="25" t="s">
        <v>2776</v>
      </c>
      <c r="J183" s="26" t="s">
        <v>2754</v>
      </c>
      <c r="K183" s="26" t="s">
        <v>2755</v>
      </c>
      <c r="L183" s="26">
        <v>123</v>
      </c>
      <c r="M183" s="26" t="s">
        <v>2756</v>
      </c>
    </row>
    <row r="184" spans="1:13" ht="33.6" customHeight="1" x14ac:dyDescent="0.3">
      <c r="A184" s="25" t="s">
        <v>390</v>
      </c>
      <c r="B184" s="25" t="s">
        <v>2843</v>
      </c>
      <c r="C184" s="25" t="s">
        <v>17</v>
      </c>
      <c r="D184" s="25" t="s">
        <v>18</v>
      </c>
      <c r="E184" s="25" t="s">
        <v>127</v>
      </c>
      <c r="F184" s="25" t="s">
        <v>2757</v>
      </c>
      <c r="G184" s="25" t="s">
        <v>2812</v>
      </c>
      <c r="H184" s="25" t="s">
        <v>2843</v>
      </c>
      <c r="I184" s="25" t="s">
        <v>2813</v>
      </c>
      <c r="J184" s="26" t="s">
        <v>2754</v>
      </c>
      <c r="K184" s="26" t="s">
        <v>2755</v>
      </c>
      <c r="L184" s="26">
        <v>127</v>
      </c>
      <c r="M184" s="26" t="s">
        <v>2756</v>
      </c>
    </row>
    <row r="185" spans="1:13" ht="33.6" customHeight="1" x14ac:dyDescent="0.3">
      <c r="A185" s="25" t="s">
        <v>396</v>
      </c>
      <c r="B185" s="25" t="s">
        <v>397</v>
      </c>
      <c r="C185" s="25" t="s">
        <v>17</v>
      </c>
      <c r="D185" s="25" t="s">
        <v>18</v>
      </c>
      <c r="E185" s="25" t="s">
        <v>260</v>
      </c>
      <c r="F185" s="25" t="s">
        <v>2768</v>
      </c>
      <c r="G185" s="25" t="s">
        <v>2769</v>
      </c>
      <c r="H185" s="25" t="s">
        <v>397</v>
      </c>
      <c r="I185" s="25" t="s">
        <v>2770</v>
      </c>
      <c r="J185" s="26" t="s">
        <v>2754</v>
      </c>
      <c r="K185" s="26" t="s">
        <v>2755</v>
      </c>
      <c r="L185" s="26">
        <v>75</v>
      </c>
      <c r="M185" s="26" t="s">
        <v>2756</v>
      </c>
    </row>
    <row r="186" spans="1:13" ht="33.6" customHeight="1" x14ac:dyDescent="0.3">
      <c r="A186" s="25" t="s">
        <v>396</v>
      </c>
      <c r="B186" s="25" t="s">
        <v>397</v>
      </c>
      <c r="C186" s="25" t="s">
        <v>17</v>
      </c>
      <c r="D186" s="25" t="s">
        <v>18</v>
      </c>
      <c r="E186" s="25" t="s">
        <v>66</v>
      </c>
      <c r="F186" s="25" t="s">
        <v>2751</v>
      </c>
      <c r="G186" s="25" t="s">
        <v>2773</v>
      </c>
      <c r="H186" s="25" t="s">
        <v>397</v>
      </c>
      <c r="I186" s="25" t="s">
        <v>2774</v>
      </c>
      <c r="J186" s="26" t="s">
        <v>2754</v>
      </c>
      <c r="K186" s="26" t="s">
        <v>2755</v>
      </c>
      <c r="L186" s="26">
        <v>123</v>
      </c>
      <c r="M186" s="26" t="s">
        <v>2756</v>
      </c>
    </row>
    <row r="187" spans="1:13" ht="33.6" customHeight="1" x14ac:dyDescent="0.3">
      <c r="A187" s="25" t="s">
        <v>396</v>
      </c>
      <c r="B187" s="25" t="s">
        <v>397</v>
      </c>
      <c r="C187" s="25" t="s">
        <v>17</v>
      </c>
      <c r="D187" s="25" t="s">
        <v>18</v>
      </c>
      <c r="E187" s="25" t="s">
        <v>66</v>
      </c>
      <c r="F187" s="25" t="s">
        <v>2751</v>
      </c>
      <c r="G187" s="25" t="s">
        <v>2775</v>
      </c>
      <c r="H187" s="25" t="s">
        <v>397</v>
      </c>
      <c r="I187" s="25" t="s">
        <v>2776</v>
      </c>
      <c r="J187" s="26" t="s">
        <v>2754</v>
      </c>
      <c r="K187" s="26" t="s">
        <v>2755</v>
      </c>
      <c r="L187" s="26">
        <v>123</v>
      </c>
      <c r="M187" s="26" t="s">
        <v>2756</v>
      </c>
    </row>
    <row r="188" spans="1:13" ht="33.6" customHeight="1" x14ac:dyDescent="0.3">
      <c r="A188" s="25" t="s">
        <v>408</v>
      </c>
      <c r="B188" s="25" t="s">
        <v>409</v>
      </c>
      <c r="C188" s="25" t="s">
        <v>17</v>
      </c>
      <c r="D188" s="25" t="s">
        <v>18</v>
      </c>
      <c r="E188" s="25" t="s">
        <v>66</v>
      </c>
      <c r="F188" s="25" t="s">
        <v>2751</v>
      </c>
      <c r="G188" s="25" t="s">
        <v>2773</v>
      </c>
      <c r="H188" s="25" t="s">
        <v>409</v>
      </c>
      <c r="I188" s="25" t="s">
        <v>2774</v>
      </c>
      <c r="J188" s="26" t="s">
        <v>2754</v>
      </c>
      <c r="K188" s="26" t="s">
        <v>2755</v>
      </c>
      <c r="L188" s="26">
        <v>123</v>
      </c>
      <c r="M188" s="26" t="s">
        <v>2756</v>
      </c>
    </row>
    <row r="189" spans="1:13" ht="33.6" customHeight="1" x14ac:dyDescent="0.3">
      <c r="A189" s="25" t="s">
        <v>408</v>
      </c>
      <c r="B189" s="25" t="s">
        <v>409</v>
      </c>
      <c r="C189" s="25" t="s">
        <v>17</v>
      </c>
      <c r="D189" s="25" t="s">
        <v>18</v>
      </c>
      <c r="E189" s="25" t="s">
        <v>66</v>
      </c>
      <c r="F189" s="25" t="s">
        <v>2751</v>
      </c>
      <c r="G189" s="25" t="s">
        <v>2775</v>
      </c>
      <c r="H189" s="25" t="s">
        <v>409</v>
      </c>
      <c r="I189" s="25" t="s">
        <v>2776</v>
      </c>
      <c r="J189" s="26" t="s">
        <v>2754</v>
      </c>
      <c r="K189" s="26" t="s">
        <v>2755</v>
      </c>
      <c r="L189" s="26">
        <v>123</v>
      </c>
      <c r="M189" s="26" t="s">
        <v>2756</v>
      </c>
    </row>
    <row r="190" spans="1:13" ht="33.6" customHeight="1" x14ac:dyDescent="0.3">
      <c r="A190" s="25" t="s">
        <v>408</v>
      </c>
      <c r="B190" s="25" t="s">
        <v>409</v>
      </c>
      <c r="C190" s="25" t="s">
        <v>17</v>
      </c>
      <c r="D190" s="25" t="s">
        <v>18</v>
      </c>
      <c r="E190" s="25" t="s">
        <v>127</v>
      </c>
      <c r="F190" s="25" t="s">
        <v>2757</v>
      </c>
      <c r="G190" s="25" t="s">
        <v>2760</v>
      </c>
      <c r="H190" s="25" t="s">
        <v>409</v>
      </c>
      <c r="I190" s="25" t="s">
        <v>2761</v>
      </c>
      <c r="J190" s="26" t="s">
        <v>2754</v>
      </c>
      <c r="K190" s="26" t="s">
        <v>2755</v>
      </c>
      <c r="L190" s="26">
        <v>127</v>
      </c>
      <c r="M190" s="26" t="s">
        <v>2756</v>
      </c>
    </row>
    <row r="191" spans="1:13" ht="33.6" customHeight="1" x14ac:dyDescent="0.3">
      <c r="A191" s="25" t="s">
        <v>414</v>
      </c>
      <c r="B191" s="25" t="s">
        <v>415</v>
      </c>
      <c r="C191" s="25" t="s">
        <v>17</v>
      </c>
      <c r="D191" s="25" t="s">
        <v>18</v>
      </c>
      <c r="E191" s="25" t="s">
        <v>260</v>
      </c>
      <c r="F191" s="25" t="s">
        <v>2768</v>
      </c>
      <c r="G191" s="25" t="s">
        <v>2769</v>
      </c>
      <c r="H191" s="25" t="s">
        <v>415</v>
      </c>
      <c r="I191" s="25" t="s">
        <v>2815</v>
      </c>
      <c r="J191" s="26" t="s">
        <v>2754</v>
      </c>
      <c r="K191" s="26" t="s">
        <v>2755</v>
      </c>
      <c r="L191" s="26">
        <v>75</v>
      </c>
      <c r="M191" s="26" t="s">
        <v>2756</v>
      </c>
    </row>
    <row r="192" spans="1:13" ht="33.6" customHeight="1" x14ac:dyDescent="0.3">
      <c r="A192" s="25" t="s">
        <v>414</v>
      </c>
      <c r="B192" s="25" t="s">
        <v>415</v>
      </c>
      <c r="C192" s="25" t="s">
        <v>17</v>
      </c>
      <c r="D192" s="25" t="s">
        <v>18</v>
      </c>
      <c r="E192" s="25" t="s">
        <v>51</v>
      </c>
      <c r="F192" s="25" t="s">
        <v>2809</v>
      </c>
      <c r="G192" s="25" t="s">
        <v>2844</v>
      </c>
      <c r="H192" s="25" t="s">
        <v>415</v>
      </c>
      <c r="I192" s="25" t="s">
        <v>2845</v>
      </c>
      <c r="J192" s="26" t="s">
        <v>2754</v>
      </c>
      <c r="K192" s="26" t="s">
        <v>2755</v>
      </c>
      <c r="L192" s="26">
        <v>21</v>
      </c>
      <c r="M192" s="26" t="s">
        <v>2756</v>
      </c>
    </row>
    <row r="193" spans="1:13" ht="33.6" customHeight="1" x14ac:dyDescent="0.3">
      <c r="A193" s="25" t="s">
        <v>414</v>
      </c>
      <c r="B193" s="25" t="s">
        <v>415</v>
      </c>
      <c r="C193" s="25" t="s">
        <v>17</v>
      </c>
      <c r="D193" s="25" t="s">
        <v>18</v>
      </c>
      <c r="E193" s="25" t="s">
        <v>127</v>
      </c>
      <c r="F193" s="25" t="s">
        <v>2757</v>
      </c>
      <c r="G193" s="25" t="s">
        <v>2792</v>
      </c>
      <c r="H193" s="25" t="s">
        <v>415</v>
      </c>
      <c r="I193" s="25" t="s">
        <v>2793</v>
      </c>
      <c r="J193" s="26" t="s">
        <v>2754</v>
      </c>
      <c r="K193" s="26" t="s">
        <v>2755</v>
      </c>
      <c r="L193" s="26">
        <v>127</v>
      </c>
      <c r="M193" s="26" t="s">
        <v>2756</v>
      </c>
    </row>
    <row r="194" spans="1:13" ht="33.6" customHeight="1" x14ac:dyDescent="0.3">
      <c r="A194" s="25" t="s">
        <v>414</v>
      </c>
      <c r="B194" s="25" t="s">
        <v>415</v>
      </c>
      <c r="C194" s="25" t="s">
        <v>17</v>
      </c>
      <c r="D194" s="25" t="s">
        <v>18</v>
      </c>
      <c r="E194" s="25" t="s">
        <v>885</v>
      </c>
      <c r="F194" s="25" t="s">
        <v>2762</v>
      </c>
      <c r="G194" s="25" t="s">
        <v>2846</v>
      </c>
      <c r="H194" s="25" t="s">
        <v>415</v>
      </c>
      <c r="I194" s="25" t="s">
        <v>2847</v>
      </c>
      <c r="J194" s="26" t="s">
        <v>2754</v>
      </c>
      <c r="K194" s="26" t="s">
        <v>2755</v>
      </c>
      <c r="L194" s="26">
        <v>14</v>
      </c>
      <c r="M194" s="26" t="s">
        <v>2756</v>
      </c>
    </row>
    <row r="195" spans="1:13" ht="33.6" customHeight="1" x14ac:dyDescent="0.3">
      <c r="A195" s="25" t="s">
        <v>421</v>
      </c>
      <c r="B195" s="25" t="s">
        <v>2848</v>
      </c>
      <c r="C195" s="25" t="s">
        <v>17</v>
      </c>
      <c r="D195" s="25" t="s">
        <v>18</v>
      </c>
      <c r="E195" s="25" t="s">
        <v>260</v>
      </c>
      <c r="F195" s="25" t="s">
        <v>2768</v>
      </c>
      <c r="G195" s="25" t="s">
        <v>2769</v>
      </c>
      <c r="H195" s="25" t="s">
        <v>2848</v>
      </c>
      <c r="I195" s="25" t="s">
        <v>2815</v>
      </c>
      <c r="J195" s="26" t="s">
        <v>2754</v>
      </c>
      <c r="K195" s="26" t="s">
        <v>2755</v>
      </c>
      <c r="L195" s="26">
        <v>75</v>
      </c>
      <c r="M195" s="26" t="s">
        <v>2756</v>
      </c>
    </row>
    <row r="196" spans="1:13" ht="33.6" customHeight="1" x14ac:dyDescent="0.3">
      <c r="A196" s="25" t="s">
        <v>421</v>
      </c>
      <c r="B196" s="25" t="s">
        <v>2848</v>
      </c>
      <c r="C196" s="25" t="s">
        <v>17</v>
      </c>
      <c r="D196" s="25" t="s">
        <v>18</v>
      </c>
      <c r="E196" s="25" t="s">
        <v>66</v>
      </c>
      <c r="F196" s="25" t="s">
        <v>2751</v>
      </c>
      <c r="G196" s="25" t="s">
        <v>2775</v>
      </c>
      <c r="H196" s="25" t="s">
        <v>2848</v>
      </c>
      <c r="I196" s="25" t="s">
        <v>2806</v>
      </c>
      <c r="J196" s="26" t="s">
        <v>2754</v>
      </c>
      <c r="K196" s="26" t="s">
        <v>2755</v>
      </c>
      <c r="L196" s="26">
        <v>123</v>
      </c>
      <c r="M196" s="26" t="s">
        <v>2756</v>
      </c>
    </row>
    <row r="197" spans="1:13" ht="33.6" customHeight="1" x14ac:dyDescent="0.3">
      <c r="A197" s="25" t="s">
        <v>427</v>
      </c>
      <c r="B197" s="25" t="s">
        <v>2849</v>
      </c>
      <c r="C197" s="25" t="s">
        <v>17</v>
      </c>
      <c r="D197" s="25" t="s">
        <v>18</v>
      </c>
      <c r="E197" s="25" t="s">
        <v>210</v>
      </c>
      <c r="F197" s="25" t="s">
        <v>2765</v>
      </c>
      <c r="G197" s="25" t="s">
        <v>2818</v>
      </c>
      <c r="H197" s="25" t="s">
        <v>2849</v>
      </c>
      <c r="I197" s="25" t="s">
        <v>2819</v>
      </c>
      <c r="J197" s="26" t="s">
        <v>2754</v>
      </c>
      <c r="K197" s="26" t="s">
        <v>2755</v>
      </c>
      <c r="L197" s="26">
        <v>38</v>
      </c>
      <c r="M197" s="26" t="s">
        <v>2756</v>
      </c>
    </row>
    <row r="198" spans="1:13" ht="33.6" customHeight="1" x14ac:dyDescent="0.3">
      <c r="A198" s="25" t="s">
        <v>427</v>
      </c>
      <c r="B198" s="25" t="s">
        <v>2849</v>
      </c>
      <c r="C198" s="25" t="s">
        <v>17</v>
      </c>
      <c r="D198" s="25" t="s">
        <v>18</v>
      </c>
      <c r="E198" s="25" t="s">
        <v>66</v>
      </c>
      <c r="F198" s="25" t="s">
        <v>2751</v>
      </c>
      <c r="G198" s="25" t="s">
        <v>2773</v>
      </c>
      <c r="H198" s="25" t="s">
        <v>2849</v>
      </c>
      <c r="I198" s="25" t="s">
        <v>2774</v>
      </c>
      <c r="J198" s="26" t="s">
        <v>2754</v>
      </c>
      <c r="K198" s="26" t="s">
        <v>2755</v>
      </c>
      <c r="L198" s="26">
        <v>123</v>
      </c>
      <c r="M198" s="26" t="s">
        <v>2756</v>
      </c>
    </row>
    <row r="199" spans="1:13" ht="33.6" customHeight="1" x14ac:dyDescent="0.3">
      <c r="A199" s="25" t="s">
        <v>427</v>
      </c>
      <c r="B199" s="25" t="s">
        <v>2849</v>
      </c>
      <c r="C199" s="25" t="s">
        <v>17</v>
      </c>
      <c r="D199" s="25" t="s">
        <v>18</v>
      </c>
      <c r="E199" s="25" t="s">
        <v>66</v>
      </c>
      <c r="F199" s="25" t="s">
        <v>2751</v>
      </c>
      <c r="G199" s="25" t="s">
        <v>2775</v>
      </c>
      <c r="H199" s="25" t="s">
        <v>2849</v>
      </c>
      <c r="I199" s="25" t="s">
        <v>2776</v>
      </c>
      <c r="J199" s="26" t="s">
        <v>2754</v>
      </c>
      <c r="K199" s="26" t="s">
        <v>2755</v>
      </c>
      <c r="L199" s="26">
        <v>123</v>
      </c>
      <c r="M199" s="26" t="s">
        <v>2756</v>
      </c>
    </row>
    <row r="200" spans="1:13" ht="33.6" customHeight="1" x14ac:dyDescent="0.3">
      <c r="A200" s="25" t="s">
        <v>433</v>
      </c>
      <c r="B200" s="25" t="s">
        <v>2850</v>
      </c>
      <c r="C200" s="25" t="s">
        <v>17</v>
      </c>
      <c r="D200" s="25" t="s">
        <v>18</v>
      </c>
      <c r="E200" s="25" t="s">
        <v>260</v>
      </c>
      <c r="F200" s="25" t="s">
        <v>2768</v>
      </c>
      <c r="G200" s="25" t="s">
        <v>2769</v>
      </c>
      <c r="H200" s="25" t="s">
        <v>2850</v>
      </c>
      <c r="I200" s="25" t="s">
        <v>2815</v>
      </c>
      <c r="J200" s="26" t="s">
        <v>2754</v>
      </c>
      <c r="K200" s="26" t="s">
        <v>2755</v>
      </c>
      <c r="L200" s="26">
        <v>75</v>
      </c>
      <c r="M200" s="26" t="s">
        <v>2756</v>
      </c>
    </row>
    <row r="201" spans="1:13" ht="33.6" customHeight="1" x14ac:dyDescent="0.3">
      <c r="A201" s="25" t="s">
        <v>439</v>
      </c>
      <c r="B201" s="25" t="s">
        <v>2851</v>
      </c>
      <c r="C201" s="25" t="s">
        <v>17</v>
      </c>
      <c r="D201" s="25" t="s">
        <v>18</v>
      </c>
      <c r="E201" s="25" t="s">
        <v>66</v>
      </c>
      <c r="F201" s="25" t="s">
        <v>2751</v>
      </c>
      <c r="G201" s="25" t="s">
        <v>2773</v>
      </c>
      <c r="H201" s="25" t="s">
        <v>2851</v>
      </c>
      <c r="I201" s="25" t="s">
        <v>2774</v>
      </c>
      <c r="J201" s="26" t="s">
        <v>2754</v>
      </c>
      <c r="K201" s="26" t="s">
        <v>2755</v>
      </c>
      <c r="L201" s="26">
        <v>123</v>
      </c>
      <c r="M201" s="26" t="s">
        <v>2756</v>
      </c>
    </row>
    <row r="202" spans="1:13" ht="33.6" customHeight="1" x14ac:dyDescent="0.3">
      <c r="A202" s="25" t="s">
        <v>439</v>
      </c>
      <c r="B202" s="25" t="s">
        <v>2851</v>
      </c>
      <c r="C202" s="25" t="s">
        <v>17</v>
      </c>
      <c r="D202" s="25" t="s">
        <v>18</v>
      </c>
      <c r="E202" s="25" t="s">
        <v>66</v>
      </c>
      <c r="F202" s="25" t="s">
        <v>2751</v>
      </c>
      <c r="G202" s="25" t="s">
        <v>2775</v>
      </c>
      <c r="H202" s="25" t="s">
        <v>2851</v>
      </c>
      <c r="I202" s="25" t="s">
        <v>2776</v>
      </c>
      <c r="J202" s="26" t="s">
        <v>2754</v>
      </c>
      <c r="K202" s="26" t="s">
        <v>2755</v>
      </c>
      <c r="L202" s="26">
        <v>123</v>
      </c>
      <c r="M202" s="26" t="s">
        <v>2756</v>
      </c>
    </row>
    <row r="203" spans="1:13" ht="33.6" customHeight="1" x14ac:dyDescent="0.3">
      <c r="A203" s="25" t="s">
        <v>439</v>
      </c>
      <c r="B203" s="25" t="s">
        <v>2851</v>
      </c>
      <c r="C203" s="25" t="s">
        <v>17</v>
      </c>
      <c r="D203" s="25" t="s">
        <v>18</v>
      </c>
      <c r="E203" s="25" t="s">
        <v>127</v>
      </c>
      <c r="F203" s="25" t="s">
        <v>2757</v>
      </c>
      <c r="G203" s="25" t="s">
        <v>2758</v>
      </c>
      <c r="H203" s="25" t="s">
        <v>2851</v>
      </c>
      <c r="I203" s="25" t="s">
        <v>2779</v>
      </c>
      <c r="J203" s="26" t="s">
        <v>2754</v>
      </c>
      <c r="K203" s="26" t="s">
        <v>2755</v>
      </c>
      <c r="L203" s="26">
        <v>127</v>
      </c>
      <c r="M203" s="26" t="s">
        <v>2756</v>
      </c>
    </row>
    <row r="204" spans="1:13" ht="33.6" customHeight="1" x14ac:dyDescent="0.3">
      <c r="A204" s="25" t="s">
        <v>458</v>
      </c>
      <c r="B204" s="25" t="s">
        <v>459</v>
      </c>
      <c r="C204" s="25" t="s">
        <v>17</v>
      </c>
      <c r="D204" s="25" t="s">
        <v>18</v>
      </c>
      <c r="E204" s="25" t="s">
        <v>51</v>
      </c>
      <c r="F204" s="25" t="s">
        <v>2809</v>
      </c>
      <c r="G204" s="25" t="s">
        <v>2810</v>
      </c>
      <c r="H204" s="25" t="s">
        <v>459</v>
      </c>
      <c r="I204" s="25" t="s">
        <v>2811</v>
      </c>
      <c r="J204" s="26" t="s">
        <v>2754</v>
      </c>
      <c r="K204" s="26" t="s">
        <v>2755</v>
      </c>
      <c r="L204" s="26">
        <v>21</v>
      </c>
      <c r="M204" s="26" t="s">
        <v>2756</v>
      </c>
    </row>
    <row r="205" spans="1:13" ht="33.6" customHeight="1" x14ac:dyDescent="0.3">
      <c r="A205" s="25" t="s">
        <v>464</v>
      </c>
      <c r="B205" s="25" t="s">
        <v>2852</v>
      </c>
      <c r="C205" s="25" t="s">
        <v>17</v>
      </c>
      <c r="D205" s="25" t="s">
        <v>18</v>
      </c>
      <c r="E205" s="25" t="s">
        <v>210</v>
      </c>
      <c r="F205" s="25" t="s">
        <v>2765</v>
      </c>
      <c r="G205" s="25" t="s">
        <v>2780</v>
      </c>
      <c r="H205" s="25" t="s">
        <v>2852</v>
      </c>
      <c r="I205" s="25" t="s">
        <v>2781</v>
      </c>
      <c r="J205" s="26" t="s">
        <v>2754</v>
      </c>
      <c r="K205" s="26" t="s">
        <v>2755</v>
      </c>
      <c r="L205" s="26">
        <v>38</v>
      </c>
      <c r="M205" s="26" t="s">
        <v>2756</v>
      </c>
    </row>
    <row r="206" spans="1:13" ht="33.6" customHeight="1" x14ac:dyDescent="0.3">
      <c r="A206" s="25" t="s">
        <v>464</v>
      </c>
      <c r="B206" s="25" t="s">
        <v>2852</v>
      </c>
      <c r="C206" s="25" t="s">
        <v>17</v>
      </c>
      <c r="D206" s="25" t="s">
        <v>18</v>
      </c>
      <c r="E206" s="25" t="s">
        <v>260</v>
      </c>
      <c r="F206" s="25" t="s">
        <v>2768</v>
      </c>
      <c r="G206" s="25" t="s">
        <v>2769</v>
      </c>
      <c r="H206" s="25" t="s">
        <v>2852</v>
      </c>
      <c r="I206" s="25" t="s">
        <v>2815</v>
      </c>
      <c r="J206" s="26" t="s">
        <v>2754</v>
      </c>
      <c r="K206" s="26" t="s">
        <v>2755</v>
      </c>
      <c r="L206" s="26">
        <v>75</v>
      </c>
      <c r="M206" s="26" t="s">
        <v>2756</v>
      </c>
    </row>
    <row r="207" spans="1:13" ht="33.6" customHeight="1" x14ac:dyDescent="0.3">
      <c r="A207" s="25" t="s">
        <v>464</v>
      </c>
      <c r="B207" s="25" t="s">
        <v>2852</v>
      </c>
      <c r="C207" s="25" t="s">
        <v>17</v>
      </c>
      <c r="D207" s="25" t="s">
        <v>18</v>
      </c>
      <c r="E207" s="25" t="s">
        <v>127</v>
      </c>
      <c r="F207" s="25" t="s">
        <v>2757</v>
      </c>
      <c r="G207" s="25" t="s">
        <v>2760</v>
      </c>
      <c r="H207" s="25" t="s">
        <v>2852</v>
      </c>
      <c r="I207" s="25" t="s">
        <v>2761</v>
      </c>
      <c r="J207" s="26" t="s">
        <v>2754</v>
      </c>
      <c r="K207" s="26" t="s">
        <v>2755</v>
      </c>
      <c r="L207" s="26">
        <v>127</v>
      </c>
      <c r="M207" s="26" t="s">
        <v>2756</v>
      </c>
    </row>
    <row r="208" spans="1:13" ht="33.6" customHeight="1" x14ac:dyDescent="0.3">
      <c r="A208" s="25" t="s">
        <v>464</v>
      </c>
      <c r="B208" s="25" t="s">
        <v>2852</v>
      </c>
      <c r="C208" s="25" t="s">
        <v>17</v>
      </c>
      <c r="D208" s="25" t="s">
        <v>18</v>
      </c>
      <c r="E208" s="25" t="s">
        <v>127</v>
      </c>
      <c r="F208" s="25" t="s">
        <v>2757</v>
      </c>
      <c r="G208" s="25" t="s">
        <v>2838</v>
      </c>
      <c r="H208" s="25" t="s">
        <v>2852</v>
      </c>
      <c r="I208" s="25" t="s">
        <v>2839</v>
      </c>
      <c r="J208" s="26" t="s">
        <v>2754</v>
      </c>
      <c r="K208" s="26" t="s">
        <v>2755</v>
      </c>
      <c r="L208" s="26">
        <v>127</v>
      </c>
      <c r="M208" s="26" t="s">
        <v>2756</v>
      </c>
    </row>
    <row r="209" spans="1:13" ht="33.6" customHeight="1" x14ac:dyDescent="0.3">
      <c r="A209" s="25" t="s">
        <v>471</v>
      </c>
      <c r="B209" s="25" t="s">
        <v>2853</v>
      </c>
      <c r="C209" s="25" t="s">
        <v>17</v>
      </c>
      <c r="D209" s="25" t="s">
        <v>18</v>
      </c>
      <c r="E209" s="25" t="s">
        <v>66</v>
      </c>
      <c r="F209" s="25" t="s">
        <v>2751</v>
      </c>
      <c r="G209" s="25" t="s">
        <v>2773</v>
      </c>
      <c r="H209" s="25" t="s">
        <v>2853</v>
      </c>
      <c r="I209" s="25" t="s">
        <v>2774</v>
      </c>
      <c r="J209" s="26" t="s">
        <v>2754</v>
      </c>
      <c r="K209" s="26" t="s">
        <v>2755</v>
      </c>
      <c r="L209" s="26">
        <v>123</v>
      </c>
      <c r="M209" s="26" t="s">
        <v>2756</v>
      </c>
    </row>
    <row r="210" spans="1:13" ht="33.6" customHeight="1" x14ac:dyDescent="0.3">
      <c r="A210" s="25" t="s">
        <v>471</v>
      </c>
      <c r="B210" s="25" t="s">
        <v>2853</v>
      </c>
      <c r="C210" s="25" t="s">
        <v>17</v>
      </c>
      <c r="D210" s="25" t="s">
        <v>18</v>
      </c>
      <c r="E210" s="25" t="s">
        <v>66</v>
      </c>
      <c r="F210" s="25" t="s">
        <v>2751</v>
      </c>
      <c r="G210" s="25" t="s">
        <v>2775</v>
      </c>
      <c r="H210" s="25" t="s">
        <v>2853</v>
      </c>
      <c r="I210" s="25" t="s">
        <v>2776</v>
      </c>
      <c r="J210" s="26" t="s">
        <v>2754</v>
      </c>
      <c r="K210" s="26" t="s">
        <v>2755</v>
      </c>
      <c r="L210" s="26">
        <v>123</v>
      </c>
      <c r="M210" s="26" t="s">
        <v>2756</v>
      </c>
    </row>
    <row r="211" spans="1:13" ht="33.6" customHeight="1" x14ac:dyDescent="0.3">
      <c r="A211" s="25" t="s">
        <v>471</v>
      </c>
      <c r="B211" s="25" t="s">
        <v>2853</v>
      </c>
      <c r="C211" s="25" t="s">
        <v>17</v>
      </c>
      <c r="D211" s="25" t="s">
        <v>18</v>
      </c>
      <c r="E211" s="25" t="s">
        <v>66</v>
      </c>
      <c r="F211" s="25" t="s">
        <v>2751</v>
      </c>
      <c r="G211" s="25" t="s">
        <v>2777</v>
      </c>
      <c r="H211" s="25" t="s">
        <v>2853</v>
      </c>
      <c r="I211" s="25" t="s">
        <v>2778</v>
      </c>
      <c r="J211" s="26" t="s">
        <v>2754</v>
      </c>
      <c r="K211" s="26" t="s">
        <v>2755</v>
      </c>
      <c r="L211" s="26">
        <v>123</v>
      </c>
      <c r="M211" s="26" t="s">
        <v>2756</v>
      </c>
    </row>
    <row r="212" spans="1:13" ht="33.6" customHeight="1" x14ac:dyDescent="0.3">
      <c r="A212" s="25" t="s">
        <v>471</v>
      </c>
      <c r="B212" s="25" t="s">
        <v>2853</v>
      </c>
      <c r="C212" s="25" t="s">
        <v>17</v>
      </c>
      <c r="D212" s="25" t="s">
        <v>18</v>
      </c>
      <c r="E212" s="25" t="s">
        <v>66</v>
      </c>
      <c r="F212" s="25" t="s">
        <v>2751</v>
      </c>
      <c r="G212" s="25" t="s">
        <v>2752</v>
      </c>
      <c r="H212" s="25" t="s">
        <v>2853</v>
      </c>
      <c r="I212" s="25" t="s">
        <v>2753</v>
      </c>
      <c r="J212" s="26" t="s">
        <v>2754</v>
      </c>
      <c r="K212" s="26" t="s">
        <v>2755</v>
      </c>
      <c r="L212" s="26">
        <v>123</v>
      </c>
      <c r="M212" s="26" t="s">
        <v>2756</v>
      </c>
    </row>
    <row r="213" spans="1:13" ht="33.6" customHeight="1" x14ac:dyDescent="0.3">
      <c r="A213" s="25" t="s">
        <v>471</v>
      </c>
      <c r="B213" s="25" t="s">
        <v>2853</v>
      </c>
      <c r="C213" s="25" t="s">
        <v>17</v>
      </c>
      <c r="D213" s="25" t="s">
        <v>18</v>
      </c>
      <c r="E213" s="25" t="s">
        <v>127</v>
      </c>
      <c r="F213" s="25" t="s">
        <v>2757</v>
      </c>
      <c r="G213" s="25" t="s">
        <v>2792</v>
      </c>
      <c r="H213" s="25" t="s">
        <v>2853</v>
      </c>
      <c r="I213" s="25" t="s">
        <v>2793</v>
      </c>
      <c r="J213" s="26" t="s">
        <v>2754</v>
      </c>
      <c r="K213" s="26" t="s">
        <v>2755</v>
      </c>
      <c r="L213" s="26">
        <v>127</v>
      </c>
      <c r="M213" s="26" t="s">
        <v>2756</v>
      </c>
    </row>
    <row r="214" spans="1:13" ht="33.6" customHeight="1" x14ac:dyDescent="0.3">
      <c r="A214" s="25" t="s">
        <v>471</v>
      </c>
      <c r="B214" s="25" t="s">
        <v>2853</v>
      </c>
      <c r="C214" s="25" t="s">
        <v>17</v>
      </c>
      <c r="D214" s="25" t="s">
        <v>18</v>
      </c>
      <c r="E214" s="25" t="s">
        <v>127</v>
      </c>
      <c r="F214" s="25" t="s">
        <v>2757</v>
      </c>
      <c r="G214" s="25" t="s">
        <v>2758</v>
      </c>
      <c r="H214" s="25" t="s">
        <v>2853</v>
      </c>
      <c r="I214" s="25" t="s">
        <v>2759</v>
      </c>
      <c r="J214" s="26" t="s">
        <v>2754</v>
      </c>
      <c r="K214" s="26" t="s">
        <v>2755</v>
      </c>
      <c r="L214" s="26">
        <v>127</v>
      </c>
      <c r="M214" s="26" t="s">
        <v>2756</v>
      </c>
    </row>
    <row r="215" spans="1:13" ht="33.6" customHeight="1" x14ac:dyDescent="0.3">
      <c r="A215" s="25" t="s">
        <v>477</v>
      </c>
      <c r="B215" s="25" t="s">
        <v>478</v>
      </c>
      <c r="C215" s="25" t="s">
        <v>17</v>
      </c>
      <c r="D215" s="25" t="s">
        <v>18</v>
      </c>
      <c r="E215" s="25" t="s">
        <v>66</v>
      </c>
      <c r="F215" s="25" t="s">
        <v>2751</v>
      </c>
      <c r="G215" s="25" t="s">
        <v>2773</v>
      </c>
      <c r="H215" s="25" t="s">
        <v>478</v>
      </c>
      <c r="I215" s="25" t="s">
        <v>2774</v>
      </c>
      <c r="J215" s="26" t="s">
        <v>2754</v>
      </c>
      <c r="K215" s="26" t="s">
        <v>2755</v>
      </c>
      <c r="L215" s="26">
        <v>123</v>
      </c>
      <c r="M215" s="26" t="s">
        <v>2756</v>
      </c>
    </row>
    <row r="216" spans="1:13" ht="33.6" customHeight="1" x14ac:dyDescent="0.3">
      <c r="A216" s="25" t="s">
        <v>477</v>
      </c>
      <c r="B216" s="25" t="s">
        <v>478</v>
      </c>
      <c r="C216" s="25" t="s">
        <v>17</v>
      </c>
      <c r="D216" s="25" t="s">
        <v>18</v>
      </c>
      <c r="E216" s="25" t="s">
        <v>66</v>
      </c>
      <c r="F216" s="25" t="s">
        <v>2751</v>
      </c>
      <c r="G216" s="25" t="s">
        <v>2784</v>
      </c>
      <c r="H216" s="25" t="s">
        <v>478</v>
      </c>
      <c r="I216" s="25" t="s">
        <v>2785</v>
      </c>
      <c r="J216" s="26" t="s">
        <v>2754</v>
      </c>
      <c r="K216" s="26" t="s">
        <v>2755</v>
      </c>
      <c r="L216" s="26">
        <v>123</v>
      </c>
      <c r="M216" s="26" t="s">
        <v>2756</v>
      </c>
    </row>
    <row r="217" spans="1:13" ht="33.6" customHeight="1" x14ac:dyDescent="0.3">
      <c r="A217" s="25" t="s">
        <v>477</v>
      </c>
      <c r="B217" s="25" t="s">
        <v>478</v>
      </c>
      <c r="C217" s="25" t="s">
        <v>17</v>
      </c>
      <c r="D217" s="25" t="s">
        <v>18</v>
      </c>
      <c r="E217" s="25" t="s">
        <v>66</v>
      </c>
      <c r="F217" s="25" t="s">
        <v>2751</v>
      </c>
      <c r="G217" s="25" t="s">
        <v>2775</v>
      </c>
      <c r="H217" s="25" t="s">
        <v>478</v>
      </c>
      <c r="I217" s="25" t="s">
        <v>2776</v>
      </c>
      <c r="J217" s="26" t="s">
        <v>2754</v>
      </c>
      <c r="K217" s="26" t="s">
        <v>2755</v>
      </c>
      <c r="L217" s="26">
        <v>123</v>
      </c>
      <c r="M217" s="26" t="s">
        <v>2756</v>
      </c>
    </row>
    <row r="218" spans="1:13" ht="33.6" customHeight="1" x14ac:dyDescent="0.3">
      <c r="A218" s="25" t="s">
        <v>483</v>
      </c>
      <c r="B218" s="25" t="s">
        <v>2854</v>
      </c>
      <c r="C218" s="25" t="s">
        <v>17</v>
      </c>
      <c r="D218" s="25" t="s">
        <v>18</v>
      </c>
      <c r="E218" s="25" t="s">
        <v>260</v>
      </c>
      <c r="F218" s="25" t="s">
        <v>2768</v>
      </c>
      <c r="G218" s="25" t="s">
        <v>2801</v>
      </c>
      <c r="H218" s="25" t="s">
        <v>2854</v>
      </c>
      <c r="I218" s="25" t="s">
        <v>2802</v>
      </c>
      <c r="J218" s="26" t="s">
        <v>2754</v>
      </c>
      <c r="K218" s="26" t="s">
        <v>2755</v>
      </c>
      <c r="L218" s="26">
        <v>75</v>
      </c>
      <c r="M218" s="26" t="s">
        <v>2756</v>
      </c>
    </row>
    <row r="219" spans="1:13" ht="33.6" customHeight="1" x14ac:dyDescent="0.3">
      <c r="A219" s="25" t="s">
        <v>483</v>
      </c>
      <c r="B219" s="25" t="s">
        <v>2854</v>
      </c>
      <c r="C219" s="25" t="s">
        <v>17</v>
      </c>
      <c r="D219" s="25" t="s">
        <v>18</v>
      </c>
      <c r="E219" s="25" t="s">
        <v>260</v>
      </c>
      <c r="F219" s="25" t="s">
        <v>2768</v>
      </c>
      <c r="G219" s="25" t="s">
        <v>2771</v>
      </c>
      <c r="H219" s="25" t="s">
        <v>2854</v>
      </c>
      <c r="I219" s="25" t="s">
        <v>2772</v>
      </c>
      <c r="J219" s="26" t="s">
        <v>2754</v>
      </c>
      <c r="K219" s="26" t="s">
        <v>2755</v>
      </c>
      <c r="L219" s="26">
        <v>75</v>
      </c>
      <c r="M219" s="26" t="s">
        <v>2756</v>
      </c>
    </row>
    <row r="220" spans="1:13" ht="33.6" customHeight="1" x14ac:dyDescent="0.3">
      <c r="A220" s="25" t="s">
        <v>483</v>
      </c>
      <c r="B220" s="25" t="s">
        <v>2854</v>
      </c>
      <c r="C220" s="25" t="s">
        <v>17</v>
      </c>
      <c r="D220" s="25" t="s">
        <v>18</v>
      </c>
      <c r="E220" s="25" t="s">
        <v>66</v>
      </c>
      <c r="F220" s="25" t="s">
        <v>2751</v>
      </c>
      <c r="G220" s="25" t="s">
        <v>2773</v>
      </c>
      <c r="H220" s="25" t="s">
        <v>2854</v>
      </c>
      <c r="I220" s="25" t="s">
        <v>2774</v>
      </c>
      <c r="J220" s="26" t="s">
        <v>2754</v>
      </c>
      <c r="K220" s="26" t="s">
        <v>2755</v>
      </c>
      <c r="L220" s="26">
        <v>123</v>
      </c>
      <c r="M220" s="26" t="s">
        <v>2756</v>
      </c>
    </row>
    <row r="221" spans="1:13" ht="33.6" customHeight="1" x14ac:dyDescent="0.3">
      <c r="A221" s="25" t="s">
        <v>483</v>
      </c>
      <c r="B221" s="25" t="s">
        <v>2854</v>
      </c>
      <c r="C221" s="25" t="s">
        <v>17</v>
      </c>
      <c r="D221" s="25" t="s">
        <v>18</v>
      </c>
      <c r="E221" s="25" t="s">
        <v>66</v>
      </c>
      <c r="F221" s="25" t="s">
        <v>2751</v>
      </c>
      <c r="G221" s="25" t="s">
        <v>2775</v>
      </c>
      <c r="H221" s="25" t="s">
        <v>2854</v>
      </c>
      <c r="I221" s="25" t="s">
        <v>2776</v>
      </c>
      <c r="J221" s="26" t="s">
        <v>2754</v>
      </c>
      <c r="K221" s="26" t="s">
        <v>2755</v>
      </c>
      <c r="L221" s="26">
        <v>123</v>
      </c>
      <c r="M221" s="26" t="s">
        <v>2756</v>
      </c>
    </row>
    <row r="222" spans="1:13" ht="33.6" customHeight="1" x14ac:dyDescent="0.3">
      <c r="A222" s="25" t="s">
        <v>483</v>
      </c>
      <c r="B222" s="25" t="s">
        <v>2854</v>
      </c>
      <c r="C222" s="25" t="s">
        <v>17</v>
      </c>
      <c r="D222" s="25" t="s">
        <v>18</v>
      </c>
      <c r="E222" s="25" t="s">
        <v>66</v>
      </c>
      <c r="F222" s="25" t="s">
        <v>2751</v>
      </c>
      <c r="G222" s="25" t="s">
        <v>2777</v>
      </c>
      <c r="H222" s="25" t="s">
        <v>2854</v>
      </c>
      <c r="I222" s="25" t="s">
        <v>2778</v>
      </c>
      <c r="J222" s="26" t="s">
        <v>2754</v>
      </c>
      <c r="K222" s="26" t="s">
        <v>2755</v>
      </c>
      <c r="L222" s="26">
        <v>123</v>
      </c>
      <c r="M222" s="26" t="s">
        <v>2756</v>
      </c>
    </row>
    <row r="223" spans="1:13" ht="33.6" customHeight="1" x14ac:dyDescent="0.3">
      <c r="A223" s="25" t="s">
        <v>495</v>
      </c>
      <c r="B223" s="25" t="s">
        <v>2855</v>
      </c>
      <c r="C223" s="25" t="s">
        <v>17</v>
      </c>
      <c r="D223" s="25" t="s">
        <v>18</v>
      </c>
      <c r="E223" s="25" t="s">
        <v>210</v>
      </c>
      <c r="F223" s="25" t="s">
        <v>2765</v>
      </c>
      <c r="G223" s="25" t="s">
        <v>2818</v>
      </c>
      <c r="H223" s="25" t="s">
        <v>2855</v>
      </c>
      <c r="I223" s="25" t="s">
        <v>2822</v>
      </c>
      <c r="J223" s="26" t="s">
        <v>2754</v>
      </c>
      <c r="K223" s="26" t="s">
        <v>2755</v>
      </c>
      <c r="L223" s="26">
        <v>38</v>
      </c>
      <c r="M223" s="26" t="s">
        <v>2756</v>
      </c>
    </row>
    <row r="224" spans="1:13" ht="33.6" customHeight="1" x14ac:dyDescent="0.3">
      <c r="A224" s="25" t="s">
        <v>495</v>
      </c>
      <c r="B224" s="25" t="s">
        <v>2855</v>
      </c>
      <c r="C224" s="25" t="s">
        <v>17</v>
      </c>
      <c r="D224" s="25" t="s">
        <v>18</v>
      </c>
      <c r="E224" s="25" t="s">
        <v>66</v>
      </c>
      <c r="F224" s="25" t="s">
        <v>2751</v>
      </c>
      <c r="G224" s="25" t="s">
        <v>2773</v>
      </c>
      <c r="H224" s="25" t="s">
        <v>2855</v>
      </c>
      <c r="I224" s="25" t="s">
        <v>2774</v>
      </c>
      <c r="J224" s="26" t="s">
        <v>2754</v>
      </c>
      <c r="K224" s="26" t="s">
        <v>2755</v>
      </c>
      <c r="L224" s="26">
        <v>123</v>
      </c>
      <c r="M224" s="26" t="s">
        <v>2756</v>
      </c>
    </row>
    <row r="225" spans="1:13" ht="33.6" customHeight="1" x14ac:dyDescent="0.3">
      <c r="A225" s="25" t="s">
        <v>495</v>
      </c>
      <c r="B225" s="25" t="s">
        <v>2855</v>
      </c>
      <c r="C225" s="25" t="s">
        <v>17</v>
      </c>
      <c r="D225" s="25" t="s">
        <v>18</v>
      </c>
      <c r="E225" s="25" t="s">
        <v>66</v>
      </c>
      <c r="F225" s="25" t="s">
        <v>2751</v>
      </c>
      <c r="G225" s="25" t="s">
        <v>2775</v>
      </c>
      <c r="H225" s="25" t="s">
        <v>2855</v>
      </c>
      <c r="I225" s="25" t="s">
        <v>2776</v>
      </c>
      <c r="J225" s="26" t="s">
        <v>2754</v>
      </c>
      <c r="K225" s="26" t="s">
        <v>2755</v>
      </c>
      <c r="L225" s="26">
        <v>123</v>
      </c>
      <c r="M225" s="26" t="s">
        <v>2756</v>
      </c>
    </row>
    <row r="226" spans="1:13" ht="33.6" customHeight="1" x14ac:dyDescent="0.3">
      <c r="A226" s="25" t="s">
        <v>495</v>
      </c>
      <c r="B226" s="25" t="s">
        <v>2855</v>
      </c>
      <c r="C226" s="25" t="s">
        <v>17</v>
      </c>
      <c r="D226" s="25" t="s">
        <v>18</v>
      </c>
      <c r="E226" s="25" t="s">
        <v>127</v>
      </c>
      <c r="F226" s="25" t="s">
        <v>2757</v>
      </c>
      <c r="G226" s="25" t="s">
        <v>2786</v>
      </c>
      <c r="H226" s="25" t="s">
        <v>2855</v>
      </c>
      <c r="I226" s="25" t="s">
        <v>2787</v>
      </c>
      <c r="J226" s="26" t="s">
        <v>2754</v>
      </c>
      <c r="K226" s="26" t="s">
        <v>2755</v>
      </c>
      <c r="L226" s="26">
        <v>127</v>
      </c>
      <c r="M226" s="26" t="s">
        <v>2756</v>
      </c>
    </row>
    <row r="227" spans="1:13" ht="33.6" customHeight="1" x14ac:dyDescent="0.3">
      <c r="A227" s="25" t="s">
        <v>501</v>
      </c>
      <c r="B227" s="25" t="s">
        <v>2856</v>
      </c>
      <c r="C227" s="25" t="s">
        <v>17</v>
      </c>
      <c r="D227" s="25" t="s">
        <v>18</v>
      </c>
      <c r="E227" s="25" t="s">
        <v>66</v>
      </c>
      <c r="F227" s="25" t="s">
        <v>2751</v>
      </c>
      <c r="G227" s="25" t="s">
        <v>2775</v>
      </c>
      <c r="H227" s="25" t="s">
        <v>2856</v>
      </c>
      <c r="I227" s="25" t="s">
        <v>2806</v>
      </c>
      <c r="J227" s="26" t="s">
        <v>2754</v>
      </c>
      <c r="K227" s="26" t="s">
        <v>2755</v>
      </c>
      <c r="L227" s="26">
        <v>123</v>
      </c>
      <c r="M227" s="26" t="s">
        <v>2756</v>
      </c>
    </row>
    <row r="228" spans="1:13" ht="33.6" customHeight="1" x14ac:dyDescent="0.3">
      <c r="A228" s="25" t="s">
        <v>501</v>
      </c>
      <c r="B228" s="25" t="s">
        <v>2856</v>
      </c>
      <c r="C228" s="25" t="s">
        <v>17</v>
      </c>
      <c r="D228" s="25" t="s">
        <v>18</v>
      </c>
      <c r="E228" s="25" t="s">
        <v>127</v>
      </c>
      <c r="F228" s="25" t="s">
        <v>2757</v>
      </c>
      <c r="G228" s="25" t="s">
        <v>2760</v>
      </c>
      <c r="H228" s="25" t="s">
        <v>2856</v>
      </c>
      <c r="I228" s="25" t="s">
        <v>2761</v>
      </c>
      <c r="J228" s="26" t="s">
        <v>2754</v>
      </c>
      <c r="K228" s="26" t="s">
        <v>2755</v>
      </c>
      <c r="L228" s="26">
        <v>127</v>
      </c>
      <c r="M228" s="26" t="s">
        <v>2756</v>
      </c>
    </row>
    <row r="229" spans="1:13" ht="33.6" customHeight="1" x14ac:dyDescent="0.3">
      <c r="A229" s="25" t="s">
        <v>519</v>
      </c>
      <c r="B229" s="25" t="s">
        <v>2857</v>
      </c>
      <c r="C229" s="25" t="s">
        <v>17</v>
      </c>
      <c r="D229" s="25" t="s">
        <v>18</v>
      </c>
      <c r="E229" s="25" t="s">
        <v>66</v>
      </c>
      <c r="F229" s="25" t="s">
        <v>2751</v>
      </c>
      <c r="G229" s="25" t="s">
        <v>2794</v>
      </c>
      <c r="H229" s="25" t="s">
        <v>2857</v>
      </c>
      <c r="I229" s="25" t="s">
        <v>2795</v>
      </c>
      <c r="J229" s="26" t="s">
        <v>2754</v>
      </c>
      <c r="K229" s="26" t="s">
        <v>2755</v>
      </c>
      <c r="L229" s="26">
        <v>123</v>
      </c>
      <c r="M229" s="26" t="s">
        <v>2756</v>
      </c>
    </row>
    <row r="230" spans="1:13" ht="33.6" customHeight="1" x14ac:dyDescent="0.3">
      <c r="A230" s="25" t="s">
        <v>519</v>
      </c>
      <c r="B230" s="25" t="s">
        <v>2857</v>
      </c>
      <c r="C230" s="25" t="s">
        <v>17</v>
      </c>
      <c r="D230" s="25" t="s">
        <v>18</v>
      </c>
      <c r="E230" s="25" t="s">
        <v>66</v>
      </c>
      <c r="F230" s="25" t="s">
        <v>2751</v>
      </c>
      <c r="G230" s="25" t="s">
        <v>2775</v>
      </c>
      <c r="H230" s="25" t="s">
        <v>2857</v>
      </c>
      <c r="I230" s="25" t="s">
        <v>2776</v>
      </c>
      <c r="J230" s="26" t="s">
        <v>2754</v>
      </c>
      <c r="K230" s="26" t="s">
        <v>2755</v>
      </c>
      <c r="L230" s="26">
        <v>123</v>
      </c>
      <c r="M230" s="26" t="s">
        <v>2756</v>
      </c>
    </row>
    <row r="231" spans="1:13" ht="33.6" customHeight="1" x14ac:dyDescent="0.3">
      <c r="A231" s="25" t="s">
        <v>519</v>
      </c>
      <c r="B231" s="25" t="s">
        <v>2857</v>
      </c>
      <c r="C231" s="25" t="s">
        <v>17</v>
      </c>
      <c r="D231" s="25" t="s">
        <v>18</v>
      </c>
      <c r="E231" s="25" t="s">
        <v>127</v>
      </c>
      <c r="F231" s="25" t="s">
        <v>2757</v>
      </c>
      <c r="G231" s="25" t="s">
        <v>2760</v>
      </c>
      <c r="H231" s="25" t="s">
        <v>2857</v>
      </c>
      <c r="I231" s="25" t="s">
        <v>2761</v>
      </c>
      <c r="J231" s="26" t="s">
        <v>2754</v>
      </c>
      <c r="K231" s="26" t="s">
        <v>2755</v>
      </c>
      <c r="L231" s="26">
        <v>127</v>
      </c>
      <c r="M231" s="26" t="s">
        <v>2756</v>
      </c>
    </row>
    <row r="232" spans="1:13" ht="33.6" customHeight="1" x14ac:dyDescent="0.3">
      <c r="A232" s="25" t="s">
        <v>525</v>
      </c>
      <c r="B232" s="25" t="s">
        <v>526</v>
      </c>
      <c r="C232" s="25" t="s">
        <v>17</v>
      </c>
      <c r="D232" s="25" t="s">
        <v>18</v>
      </c>
      <c r="E232" s="25" t="s">
        <v>260</v>
      </c>
      <c r="F232" s="25" t="s">
        <v>2768</v>
      </c>
      <c r="G232" s="25" t="s">
        <v>2769</v>
      </c>
      <c r="H232" s="25" t="s">
        <v>526</v>
      </c>
      <c r="I232" s="25" t="s">
        <v>2815</v>
      </c>
      <c r="J232" s="26" t="s">
        <v>2754</v>
      </c>
      <c r="K232" s="26" t="s">
        <v>2755</v>
      </c>
      <c r="L232" s="26">
        <v>75</v>
      </c>
      <c r="M232" s="26" t="s">
        <v>2756</v>
      </c>
    </row>
    <row r="233" spans="1:13" ht="33.6" customHeight="1" x14ac:dyDescent="0.3">
      <c r="A233" s="25" t="s">
        <v>525</v>
      </c>
      <c r="B233" s="25" t="s">
        <v>526</v>
      </c>
      <c r="C233" s="25" t="s">
        <v>17</v>
      </c>
      <c r="D233" s="25" t="s">
        <v>18</v>
      </c>
      <c r="E233" s="25" t="s">
        <v>127</v>
      </c>
      <c r="F233" s="25" t="s">
        <v>2757</v>
      </c>
      <c r="G233" s="25" t="s">
        <v>2758</v>
      </c>
      <c r="H233" s="25" t="s">
        <v>526</v>
      </c>
      <c r="I233" s="25" t="s">
        <v>2779</v>
      </c>
      <c r="J233" s="26" t="s">
        <v>2754</v>
      </c>
      <c r="K233" s="26" t="s">
        <v>2755</v>
      </c>
      <c r="L233" s="26">
        <v>127</v>
      </c>
      <c r="M233" s="26" t="s">
        <v>2756</v>
      </c>
    </row>
    <row r="234" spans="1:13" ht="33.6" customHeight="1" x14ac:dyDescent="0.3">
      <c r="A234" s="25" t="s">
        <v>543</v>
      </c>
      <c r="B234" s="25" t="s">
        <v>2858</v>
      </c>
      <c r="C234" s="25" t="s">
        <v>17</v>
      </c>
      <c r="D234" s="25" t="s">
        <v>18</v>
      </c>
      <c r="E234" s="25" t="s">
        <v>260</v>
      </c>
      <c r="F234" s="25" t="s">
        <v>2768</v>
      </c>
      <c r="G234" s="25" t="s">
        <v>2769</v>
      </c>
      <c r="H234" s="25" t="s">
        <v>2858</v>
      </c>
      <c r="I234" s="25" t="s">
        <v>2815</v>
      </c>
      <c r="J234" s="26" t="s">
        <v>2754</v>
      </c>
      <c r="K234" s="26" t="s">
        <v>2755</v>
      </c>
      <c r="L234" s="26">
        <v>75</v>
      </c>
      <c r="M234" s="26" t="s">
        <v>2756</v>
      </c>
    </row>
    <row r="235" spans="1:13" ht="33.6" customHeight="1" x14ac:dyDescent="0.3">
      <c r="A235" s="25" t="s">
        <v>543</v>
      </c>
      <c r="B235" s="25" t="s">
        <v>2858</v>
      </c>
      <c r="C235" s="25" t="s">
        <v>17</v>
      </c>
      <c r="D235" s="25" t="s">
        <v>18</v>
      </c>
      <c r="E235" s="25" t="s">
        <v>66</v>
      </c>
      <c r="F235" s="25" t="s">
        <v>2751</v>
      </c>
      <c r="G235" s="25" t="s">
        <v>2773</v>
      </c>
      <c r="H235" s="25" t="s">
        <v>2858</v>
      </c>
      <c r="I235" s="25" t="s">
        <v>2774</v>
      </c>
      <c r="J235" s="26" t="s">
        <v>2754</v>
      </c>
      <c r="K235" s="26" t="s">
        <v>2755</v>
      </c>
      <c r="L235" s="26">
        <v>123</v>
      </c>
      <c r="M235" s="26" t="s">
        <v>2756</v>
      </c>
    </row>
    <row r="236" spans="1:13" ht="33.6" customHeight="1" x14ac:dyDescent="0.3">
      <c r="A236" s="25" t="s">
        <v>543</v>
      </c>
      <c r="B236" s="25" t="s">
        <v>2858</v>
      </c>
      <c r="C236" s="25" t="s">
        <v>17</v>
      </c>
      <c r="D236" s="25" t="s">
        <v>18</v>
      </c>
      <c r="E236" s="25" t="s">
        <v>66</v>
      </c>
      <c r="F236" s="25" t="s">
        <v>2751</v>
      </c>
      <c r="G236" s="25" t="s">
        <v>2775</v>
      </c>
      <c r="H236" s="25" t="s">
        <v>2858</v>
      </c>
      <c r="I236" s="25" t="s">
        <v>2776</v>
      </c>
      <c r="J236" s="26" t="s">
        <v>2754</v>
      </c>
      <c r="K236" s="26" t="s">
        <v>2755</v>
      </c>
      <c r="L236" s="26">
        <v>123</v>
      </c>
      <c r="M236" s="26" t="s">
        <v>2756</v>
      </c>
    </row>
    <row r="237" spans="1:13" ht="33.6" customHeight="1" x14ac:dyDescent="0.3">
      <c r="A237" s="25" t="s">
        <v>543</v>
      </c>
      <c r="B237" s="25" t="s">
        <v>2858</v>
      </c>
      <c r="C237" s="25" t="s">
        <v>17</v>
      </c>
      <c r="D237" s="25" t="s">
        <v>18</v>
      </c>
      <c r="E237" s="25" t="s">
        <v>127</v>
      </c>
      <c r="F237" s="25" t="s">
        <v>2757</v>
      </c>
      <c r="G237" s="25" t="s">
        <v>2758</v>
      </c>
      <c r="H237" s="25" t="s">
        <v>2858</v>
      </c>
      <c r="I237" s="25" t="s">
        <v>2779</v>
      </c>
      <c r="J237" s="26" t="s">
        <v>2754</v>
      </c>
      <c r="K237" s="26" t="s">
        <v>2755</v>
      </c>
      <c r="L237" s="26">
        <v>127</v>
      </c>
      <c r="M237" s="26" t="s">
        <v>2756</v>
      </c>
    </row>
    <row r="238" spans="1:13" ht="33.6" customHeight="1" x14ac:dyDescent="0.3">
      <c r="A238" s="25" t="s">
        <v>555</v>
      </c>
      <c r="B238" s="25" t="s">
        <v>2859</v>
      </c>
      <c r="C238" s="25" t="s">
        <v>17</v>
      </c>
      <c r="D238" s="25" t="s">
        <v>18</v>
      </c>
      <c r="E238" s="25" t="s">
        <v>66</v>
      </c>
      <c r="F238" s="25" t="s">
        <v>2751</v>
      </c>
      <c r="G238" s="25" t="s">
        <v>2775</v>
      </c>
      <c r="H238" s="25" t="s">
        <v>2859</v>
      </c>
      <c r="I238" s="25" t="s">
        <v>2806</v>
      </c>
      <c r="J238" s="26" t="s">
        <v>2754</v>
      </c>
      <c r="K238" s="26" t="s">
        <v>2755</v>
      </c>
      <c r="L238" s="26">
        <v>123</v>
      </c>
      <c r="M238" s="26" t="s">
        <v>2756</v>
      </c>
    </row>
    <row r="239" spans="1:13" ht="33.6" customHeight="1" x14ac:dyDescent="0.3">
      <c r="A239" s="25" t="s">
        <v>555</v>
      </c>
      <c r="B239" s="25" t="s">
        <v>2859</v>
      </c>
      <c r="C239" s="25" t="s">
        <v>17</v>
      </c>
      <c r="D239" s="25" t="s">
        <v>18</v>
      </c>
      <c r="E239" s="25" t="s">
        <v>127</v>
      </c>
      <c r="F239" s="25" t="s">
        <v>2757</v>
      </c>
      <c r="G239" s="25" t="s">
        <v>2786</v>
      </c>
      <c r="H239" s="25" t="s">
        <v>2859</v>
      </c>
      <c r="I239" s="25" t="s">
        <v>2787</v>
      </c>
      <c r="J239" s="26" t="s">
        <v>2754</v>
      </c>
      <c r="K239" s="26" t="s">
        <v>2755</v>
      </c>
      <c r="L239" s="26">
        <v>127</v>
      </c>
      <c r="M239" s="26" t="s">
        <v>2756</v>
      </c>
    </row>
    <row r="240" spans="1:13" ht="33.6" customHeight="1" x14ac:dyDescent="0.3">
      <c r="A240" s="25" t="s">
        <v>555</v>
      </c>
      <c r="B240" s="25" t="s">
        <v>2859</v>
      </c>
      <c r="C240" s="25" t="s">
        <v>17</v>
      </c>
      <c r="D240" s="25" t="s">
        <v>18</v>
      </c>
      <c r="E240" s="25" t="s">
        <v>127</v>
      </c>
      <c r="F240" s="25" t="s">
        <v>2757</v>
      </c>
      <c r="G240" s="25" t="s">
        <v>2792</v>
      </c>
      <c r="H240" s="25" t="s">
        <v>2859</v>
      </c>
      <c r="I240" s="25" t="s">
        <v>2793</v>
      </c>
      <c r="J240" s="26" t="s">
        <v>2754</v>
      </c>
      <c r="K240" s="26" t="s">
        <v>2755</v>
      </c>
      <c r="L240" s="26">
        <v>127</v>
      </c>
      <c r="M240" s="26" t="s">
        <v>2756</v>
      </c>
    </row>
    <row r="241" spans="1:13" ht="33.6" customHeight="1" x14ac:dyDescent="0.3">
      <c r="A241" s="25" t="s">
        <v>561</v>
      </c>
      <c r="B241" s="25" t="s">
        <v>2860</v>
      </c>
      <c r="C241" s="25" t="s">
        <v>17</v>
      </c>
      <c r="D241" s="25" t="s">
        <v>18</v>
      </c>
      <c r="E241" s="25" t="s">
        <v>260</v>
      </c>
      <c r="F241" s="25" t="s">
        <v>2768</v>
      </c>
      <c r="G241" s="25" t="s">
        <v>2769</v>
      </c>
      <c r="H241" s="25" t="s">
        <v>2860</v>
      </c>
      <c r="I241" s="25" t="s">
        <v>2815</v>
      </c>
      <c r="J241" s="26" t="s">
        <v>2754</v>
      </c>
      <c r="K241" s="26" t="s">
        <v>2755</v>
      </c>
      <c r="L241" s="26">
        <v>75</v>
      </c>
      <c r="M241" s="26" t="s">
        <v>2756</v>
      </c>
    </row>
    <row r="242" spans="1:13" ht="33.6" customHeight="1" x14ac:dyDescent="0.3">
      <c r="A242" s="25" t="s">
        <v>561</v>
      </c>
      <c r="B242" s="25" t="s">
        <v>2860</v>
      </c>
      <c r="C242" s="25" t="s">
        <v>17</v>
      </c>
      <c r="D242" s="25" t="s">
        <v>18</v>
      </c>
      <c r="E242" s="25" t="s">
        <v>66</v>
      </c>
      <c r="F242" s="25" t="s">
        <v>2751</v>
      </c>
      <c r="G242" s="25" t="s">
        <v>2773</v>
      </c>
      <c r="H242" s="25" t="s">
        <v>2860</v>
      </c>
      <c r="I242" s="25" t="s">
        <v>2774</v>
      </c>
      <c r="J242" s="26" t="s">
        <v>2754</v>
      </c>
      <c r="K242" s="26" t="s">
        <v>2755</v>
      </c>
      <c r="L242" s="26">
        <v>123</v>
      </c>
      <c r="M242" s="26" t="s">
        <v>2756</v>
      </c>
    </row>
    <row r="243" spans="1:13" ht="33.6" customHeight="1" x14ac:dyDescent="0.3">
      <c r="A243" s="25" t="s">
        <v>561</v>
      </c>
      <c r="B243" s="25" t="s">
        <v>2860</v>
      </c>
      <c r="C243" s="25" t="s">
        <v>17</v>
      </c>
      <c r="D243" s="25" t="s">
        <v>18</v>
      </c>
      <c r="E243" s="25" t="s">
        <v>66</v>
      </c>
      <c r="F243" s="25" t="s">
        <v>2751</v>
      </c>
      <c r="G243" s="25" t="s">
        <v>2775</v>
      </c>
      <c r="H243" s="25" t="s">
        <v>2860</v>
      </c>
      <c r="I243" s="25" t="s">
        <v>2776</v>
      </c>
      <c r="J243" s="26" t="s">
        <v>2754</v>
      </c>
      <c r="K243" s="26" t="s">
        <v>2755</v>
      </c>
      <c r="L243" s="26">
        <v>123</v>
      </c>
      <c r="M243" s="26" t="s">
        <v>2756</v>
      </c>
    </row>
    <row r="244" spans="1:13" ht="33.6" customHeight="1" x14ac:dyDescent="0.3">
      <c r="A244" s="25" t="s">
        <v>561</v>
      </c>
      <c r="B244" s="25" t="s">
        <v>2860</v>
      </c>
      <c r="C244" s="25" t="s">
        <v>17</v>
      </c>
      <c r="D244" s="25" t="s">
        <v>18</v>
      </c>
      <c r="E244" s="25" t="s">
        <v>127</v>
      </c>
      <c r="F244" s="25" t="s">
        <v>2757</v>
      </c>
      <c r="G244" s="25" t="s">
        <v>2758</v>
      </c>
      <c r="H244" s="25" t="s">
        <v>2860</v>
      </c>
      <c r="I244" s="25" t="s">
        <v>2779</v>
      </c>
      <c r="J244" s="26" t="s">
        <v>2754</v>
      </c>
      <c r="K244" s="26" t="s">
        <v>2755</v>
      </c>
      <c r="L244" s="26">
        <v>127</v>
      </c>
      <c r="M244" s="26" t="s">
        <v>2756</v>
      </c>
    </row>
    <row r="245" spans="1:13" ht="33.6" customHeight="1" x14ac:dyDescent="0.3">
      <c r="A245" s="25" t="s">
        <v>567</v>
      </c>
      <c r="B245" s="25" t="s">
        <v>2861</v>
      </c>
      <c r="C245" s="25" t="s">
        <v>17</v>
      </c>
      <c r="D245" s="25" t="s">
        <v>18</v>
      </c>
      <c r="E245" s="25" t="s">
        <v>260</v>
      </c>
      <c r="F245" s="25" t="s">
        <v>2768</v>
      </c>
      <c r="G245" s="25" t="s">
        <v>2769</v>
      </c>
      <c r="H245" s="25" t="s">
        <v>2861</v>
      </c>
      <c r="I245" s="25" t="s">
        <v>2815</v>
      </c>
      <c r="J245" s="26" t="s">
        <v>2754</v>
      </c>
      <c r="K245" s="26" t="s">
        <v>2755</v>
      </c>
      <c r="L245" s="26">
        <v>75</v>
      </c>
      <c r="M245" s="26" t="s">
        <v>2756</v>
      </c>
    </row>
    <row r="246" spans="1:13" ht="33.6" customHeight="1" x14ac:dyDescent="0.3">
      <c r="A246" s="25" t="s">
        <v>567</v>
      </c>
      <c r="B246" s="25" t="s">
        <v>2861</v>
      </c>
      <c r="C246" s="25" t="s">
        <v>17</v>
      </c>
      <c r="D246" s="25" t="s">
        <v>18</v>
      </c>
      <c r="E246" s="25" t="s">
        <v>66</v>
      </c>
      <c r="F246" s="25" t="s">
        <v>2751</v>
      </c>
      <c r="G246" s="25" t="s">
        <v>2775</v>
      </c>
      <c r="H246" s="25" t="s">
        <v>2861</v>
      </c>
      <c r="I246" s="25" t="s">
        <v>2806</v>
      </c>
      <c r="J246" s="26" t="s">
        <v>2754</v>
      </c>
      <c r="K246" s="26" t="s">
        <v>2755</v>
      </c>
      <c r="L246" s="26">
        <v>123</v>
      </c>
      <c r="M246" s="26" t="s">
        <v>2756</v>
      </c>
    </row>
    <row r="247" spans="1:13" ht="33.6" customHeight="1" x14ac:dyDescent="0.3">
      <c r="A247" s="25" t="s">
        <v>573</v>
      </c>
      <c r="B247" s="25" t="s">
        <v>574</v>
      </c>
      <c r="C247" s="25" t="s">
        <v>17</v>
      </c>
      <c r="D247" s="25" t="s">
        <v>18</v>
      </c>
      <c r="E247" s="25" t="s">
        <v>210</v>
      </c>
      <c r="F247" s="25" t="s">
        <v>2765</v>
      </c>
      <c r="G247" s="25" t="s">
        <v>2780</v>
      </c>
      <c r="H247" s="25" t="s">
        <v>574</v>
      </c>
      <c r="I247" s="25" t="s">
        <v>2781</v>
      </c>
      <c r="J247" s="26" t="s">
        <v>2754</v>
      </c>
      <c r="K247" s="26" t="s">
        <v>2755</v>
      </c>
      <c r="L247" s="26">
        <v>38</v>
      </c>
      <c r="M247" s="26" t="s">
        <v>2756</v>
      </c>
    </row>
    <row r="248" spans="1:13" ht="33.6" customHeight="1" x14ac:dyDescent="0.3">
      <c r="A248" s="25" t="s">
        <v>573</v>
      </c>
      <c r="B248" s="25" t="s">
        <v>574</v>
      </c>
      <c r="C248" s="25" t="s">
        <v>17</v>
      </c>
      <c r="D248" s="25" t="s">
        <v>18</v>
      </c>
      <c r="E248" s="25" t="s">
        <v>260</v>
      </c>
      <c r="F248" s="25" t="s">
        <v>2768</v>
      </c>
      <c r="G248" s="25" t="s">
        <v>2790</v>
      </c>
      <c r="H248" s="25" t="s">
        <v>574</v>
      </c>
      <c r="I248" s="25" t="s">
        <v>2791</v>
      </c>
      <c r="J248" s="26" t="s">
        <v>2754</v>
      </c>
      <c r="K248" s="26" t="s">
        <v>2755</v>
      </c>
      <c r="L248" s="26">
        <v>75</v>
      </c>
      <c r="M248" s="26" t="s">
        <v>2756</v>
      </c>
    </row>
    <row r="249" spans="1:13" ht="33.6" customHeight="1" x14ac:dyDescent="0.3">
      <c r="A249" s="25" t="s">
        <v>573</v>
      </c>
      <c r="B249" s="25" t="s">
        <v>574</v>
      </c>
      <c r="C249" s="25" t="s">
        <v>17</v>
      </c>
      <c r="D249" s="25" t="s">
        <v>18</v>
      </c>
      <c r="E249" s="25" t="s">
        <v>66</v>
      </c>
      <c r="F249" s="25" t="s">
        <v>2751</v>
      </c>
      <c r="G249" s="25" t="s">
        <v>2773</v>
      </c>
      <c r="H249" s="25" t="s">
        <v>574</v>
      </c>
      <c r="I249" s="25" t="s">
        <v>2774</v>
      </c>
      <c r="J249" s="26" t="s">
        <v>2754</v>
      </c>
      <c r="K249" s="26" t="s">
        <v>2755</v>
      </c>
      <c r="L249" s="26">
        <v>123</v>
      </c>
      <c r="M249" s="26" t="s">
        <v>2756</v>
      </c>
    </row>
    <row r="250" spans="1:13" ht="33.6" customHeight="1" x14ac:dyDescent="0.3">
      <c r="A250" s="25" t="s">
        <v>573</v>
      </c>
      <c r="B250" s="25" t="s">
        <v>574</v>
      </c>
      <c r="C250" s="25" t="s">
        <v>17</v>
      </c>
      <c r="D250" s="25" t="s">
        <v>18</v>
      </c>
      <c r="E250" s="25" t="s">
        <v>66</v>
      </c>
      <c r="F250" s="25" t="s">
        <v>2751</v>
      </c>
      <c r="G250" s="25" t="s">
        <v>2775</v>
      </c>
      <c r="H250" s="25" t="s">
        <v>574</v>
      </c>
      <c r="I250" s="25" t="s">
        <v>2776</v>
      </c>
      <c r="J250" s="26" t="s">
        <v>2754</v>
      </c>
      <c r="K250" s="26" t="s">
        <v>2755</v>
      </c>
      <c r="L250" s="26">
        <v>123</v>
      </c>
      <c r="M250" s="26" t="s">
        <v>2756</v>
      </c>
    </row>
    <row r="251" spans="1:13" ht="33.6" customHeight="1" x14ac:dyDescent="0.3">
      <c r="A251" s="25" t="s">
        <v>573</v>
      </c>
      <c r="B251" s="25" t="s">
        <v>574</v>
      </c>
      <c r="C251" s="25" t="s">
        <v>17</v>
      </c>
      <c r="D251" s="25" t="s">
        <v>18</v>
      </c>
      <c r="E251" s="25" t="s">
        <v>66</v>
      </c>
      <c r="F251" s="25" t="s">
        <v>2751</v>
      </c>
      <c r="G251" s="25" t="s">
        <v>2752</v>
      </c>
      <c r="H251" s="25" t="s">
        <v>574</v>
      </c>
      <c r="I251" s="25" t="s">
        <v>2753</v>
      </c>
      <c r="J251" s="26" t="s">
        <v>2754</v>
      </c>
      <c r="K251" s="26" t="s">
        <v>2755</v>
      </c>
      <c r="L251" s="26">
        <v>123</v>
      </c>
      <c r="M251" s="26" t="s">
        <v>2756</v>
      </c>
    </row>
    <row r="252" spans="1:13" ht="33.6" customHeight="1" x14ac:dyDescent="0.3">
      <c r="A252" s="25" t="s">
        <v>580</v>
      </c>
      <c r="B252" s="25" t="s">
        <v>581</v>
      </c>
      <c r="C252" s="25" t="s">
        <v>17</v>
      </c>
      <c r="D252" s="25" t="s">
        <v>18</v>
      </c>
      <c r="E252" s="25" t="s">
        <v>210</v>
      </c>
      <c r="F252" s="25" t="s">
        <v>2765</v>
      </c>
      <c r="G252" s="25" t="s">
        <v>2818</v>
      </c>
      <c r="H252" s="25" t="s">
        <v>581</v>
      </c>
      <c r="I252" s="25" t="s">
        <v>2822</v>
      </c>
      <c r="J252" s="26" t="s">
        <v>2754</v>
      </c>
      <c r="K252" s="26" t="s">
        <v>2755</v>
      </c>
      <c r="L252" s="26">
        <v>38</v>
      </c>
      <c r="M252" s="26" t="s">
        <v>2756</v>
      </c>
    </row>
    <row r="253" spans="1:13" ht="33.6" customHeight="1" x14ac:dyDescent="0.3">
      <c r="A253" s="25" t="s">
        <v>580</v>
      </c>
      <c r="B253" s="25" t="s">
        <v>581</v>
      </c>
      <c r="C253" s="25" t="s">
        <v>17</v>
      </c>
      <c r="D253" s="25" t="s">
        <v>18</v>
      </c>
      <c r="E253" s="25" t="s">
        <v>127</v>
      </c>
      <c r="F253" s="25" t="s">
        <v>2757</v>
      </c>
      <c r="G253" s="25" t="s">
        <v>2758</v>
      </c>
      <c r="H253" s="25" t="s">
        <v>581</v>
      </c>
      <c r="I253" s="25" t="s">
        <v>2779</v>
      </c>
      <c r="J253" s="26" t="s">
        <v>2754</v>
      </c>
      <c r="K253" s="26" t="s">
        <v>2755</v>
      </c>
      <c r="L253" s="26">
        <v>127</v>
      </c>
      <c r="M253" s="26" t="s">
        <v>2756</v>
      </c>
    </row>
    <row r="254" spans="1:13" ht="33.6" customHeight="1" x14ac:dyDescent="0.3">
      <c r="A254" s="25" t="s">
        <v>586</v>
      </c>
      <c r="B254" s="25" t="s">
        <v>2862</v>
      </c>
      <c r="C254" s="25" t="s">
        <v>17</v>
      </c>
      <c r="D254" s="25" t="s">
        <v>18</v>
      </c>
      <c r="E254" s="25" t="s">
        <v>66</v>
      </c>
      <c r="F254" s="25" t="s">
        <v>2751</v>
      </c>
      <c r="G254" s="25" t="s">
        <v>2773</v>
      </c>
      <c r="H254" s="25" t="s">
        <v>2862</v>
      </c>
      <c r="I254" s="25" t="s">
        <v>2774</v>
      </c>
      <c r="J254" s="26" t="s">
        <v>2754</v>
      </c>
      <c r="K254" s="26" t="s">
        <v>2755</v>
      </c>
      <c r="L254" s="26">
        <v>123</v>
      </c>
      <c r="M254" s="26" t="s">
        <v>2756</v>
      </c>
    </row>
    <row r="255" spans="1:13" ht="33.6" customHeight="1" x14ac:dyDescent="0.3">
      <c r="A255" s="25" t="s">
        <v>586</v>
      </c>
      <c r="B255" s="25" t="s">
        <v>2862</v>
      </c>
      <c r="C255" s="25" t="s">
        <v>17</v>
      </c>
      <c r="D255" s="25" t="s">
        <v>18</v>
      </c>
      <c r="E255" s="25" t="s">
        <v>66</v>
      </c>
      <c r="F255" s="25" t="s">
        <v>2751</v>
      </c>
      <c r="G255" s="25" t="s">
        <v>2775</v>
      </c>
      <c r="H255" s="25" t="s">
        <v>2862</v>
      </c>
      <c r="I255" s="25" t="s">
        <v>2776</v>
      </c>
      <c r="J255" s="26" t="s">
        <v>2754</v>
      </c>
      <c r="K255" s="26" t="s">
        <v>2755</v>
      </c>
      <c r="L255" s="26">
        <v>123</v>
      </c>
      <c r="M255" s="26" t="s">
        <v>2756</v>
      </c>
    </row>
    <row r="256" spans="1:13" ht="33.6" customHeight="1" x14ac:dyDescent="0.3">
      <c r="A256" s="25" t="s">
        <v>586</v>
      </c>
      <c r="B256" s="25" t="s">
        <v>2862</v>
      </c>
      <c r="C256" s="25" t="s">
        <v>17</v>
      </c>
      <c r="D256" s="25" t="s">
        <v>18</v>
      </c>
      <c r="E256" s="25" t="s">
        <v>127</v>
      </c>
      <c r="F256" s="25" t="s">
        <v>2757</v>
      </c>
      <c r="G256" s="25" t="s">
        <v>2758</v>
      </c>
      <c r="H256" s="25" t="s">
        <v>2862</v>
      </c>
      <c r="I256" s="25" t="s">
        <v>2779</v>
      </c>
      <c r="J256" s="26" t="s">
        <v>2754</v>
      </c>
      <c r="K256" s="26" t="s">
        <v>2755</v>
      </c>
      <c r="L256" s="26">
        <v>127</v>
      </c>
      <c r="M256" s="26" t="s">
        <v>2756</v>
      </c>
    </row>
    <row r="257" spans="1:13" ht="33.6" customHeight="1" x14ac:dyDescent="0.3">
      <c r="A257" s="25" t="s">
        <v>610</v>
      </c>
      <c r="B257" s="25" t="s">
        <v>2863</v>
      </c>
      <c r="C257" s="25" t="s">
        <v>17</v>
      </c>
      <c r="D257" s="25" t="s">
        <v>18</v>
      </c>
      <c r="E257" s="25" t="s">
        <v>51</v>
      </c>
      <c r="F257" s="25" t="s">
        <v>2809</v>
      </c>
      <c r="G257" s="25" t="s">
        <v>2810</v>
      </c>
      <c r="H257" s="25" t="s">
        <v>2863</v>
      </c>
      <c r="I257" s="25" t="s">
        <v>2811</v>
      </c>
      <c r="J257" s="26" t="s">
        <v>2754</v>
      </c>
      <c r="K257" s="26" t="s">
        <v>2755</v>
      </c>
      <c r="L257" s="26">
        <v>21</v>
      </c>
      <c r="M257" s="26" t="s">
        <v>2756</v>
      </c>
    </row>
    <row r="258" spans="1:13" ht="33.6" customHeight="1" x14ac:dyDescent="0.3">
      <c r="A258" s="25" t="s">
        <v>610</v>
      </c>
      <c r="B258" s="25" t="s">
        <v>2863</v>
      </c>
      <c r="C258" s="25" t="s">
        <v>17</v>
      </c>
      <c r="D258" s="25" t="s">
        <v>18</v>
      </c>
      <c r="E258" s="25" t="s">
        <v>66</v>
      </c>
      <c r="F258" s="25" t="s">
        <v>2751</v>
      </c>
      <c r="G258" s="25" t="s">
        <v>2775</v>
      </c>
      <c r="H258" s="25" t="s">
        <v>2863</v>
      </c>
      <c r="I258" s="25" t="s">
        <v>2806</v>
      </c>
      <c r="J258" s="26" t="s">
        <v>2754</v>
      </c>
      <c r="K258" s="26" t="s">
        <v>2755</v>
      </c>
      <c r="L258" s="26">
        <v>123</v>
      </c>
      <c r="M258" s="26" t="s">
        <v>2756</v>
      </c>
    </row>
    <row r="259" spans="1:13" ht="33.6" customHeight="1" x14ac:dyDescent="0.3">
      <c r="A259" s="25" t="s">
        <v>610</v>
      </c>
      <c r="B259" s="25" t="s">
        <v>2863</v>
      </c>
      <c r="C259" s="25" t="s">
        <v>17</v>
      </c>
      <c r="D259" s="25" t="s">
        <v>18</v>
      </c>
      <c r="E259" s="25" t="s">
        <v>127</v>
      </c>
      <c r="F259" s="25" t="s">
        <v>2757</v>
      </c>
      <c r="G259" s="25" t="s">
        <v>2758</v>
      </c>
      <c r="H259" s="25" t="s">
        <v>2863</v>
      </c>
      <c r="I259" s="25" t="s">
        <v>2779</v>
      </c>
      <c r="J259" s="26" t="s">
        <v>2754</v>
      </c>
      <c r="K259" s="26" t="s">
        <v>2755</v>
      </c>
      <c r="L259" s="26">
        <v>127</v>
      </c>
      <c r="M259" s="26" t="s">
        <v>2756</v>
      </c>
    </row>
    <row r="260" spans="1:13" ht="33.6" customHeight="1" x14ac:dyDescent="0.3">
      <c r="A260" s="25" t="s">
        <v>617</v>
      </c>
      <c r="B260" s="25" t="s">
        <v>2864</v>
      </c>
      <c r="C260" s="25" t="s">
        <v>17</v>
      </c>
      <c r="D260" s="25" t="s">
        <v>18</v>
      </c>
      <c r="E260" s="25" t="s">
        <v>66</v>
      </c>
      <c r="F260" s="25" t="s">
        <v>2751</v>
      </c>
      <c r="G260" s="25" t="s">
        <v>2777</v>
      </c>
      <c r="H260" s="25" t="s">
        <v>2864</v>
      </c>
      <c r="I260" s="25" t="s">
        <v>2778</v>
      </c>
      <c r="J260" s="26" t="s">
        <v>2754</v>
      </c>
      <c r="K260" s="26" t="s">
        <v>2755</v>
      </c>
      <c r="L260" s="26">
        <v>123</v>
      </c>
      <c r="M260" s="26" t="s">
        <v>2756</v>
      </c>
    </row>
    <row r="261" spans="1:13" ht="33.6" customHeight="1" x14ac:dyDescent="0.3">
      <c r="A261" s="25" t="s">
        <v>623</v>
      </c>
      <c r="B261" s="25" t="s">
        <v>2865</v>
      </c>
      <c r="C261" s="25" t="s">
        <v>17</v>
      </c>
      <c r="D261" s="25" t="s">
        <v>18</v>
      </c>
      <c r="E261" s="25" t="s">
        <v>260</v>
      </c>
      <c r="F261" s="25" t="s">
        <v>2768</v>
      </c>
      <c r="G261" s="25" t="s">
        <v>2801</v>
      </c>
      <c r="H261" s="25" t="s">
        <v>2865</v>
      </c>
      <c r="I261" s="25" t="s">
        <v>2802</v>
      </c>
      <c r="J261" s="26" t="s">
        <v>2754</v>
      </c>
      <c r="K261" s="26" t="s">
        <v>2755</v>
      </c>
      <c r="L261" s="26">
        <v>75</v>
      </c>
      <c r="M261" s="26" t="s">
        <v>2756</v>
      </c>
    </row>
    <row r="262" spans="1:13" ht="33.6" customHeight="1" x14ac:dyDescent="0.3">
      <c r="A262" s="25" t="s">
        <v>623</v>
      </c>
      <c r="B262" s="25" t="s">
        <v>2865</v>
      </c>
      <c r="C262" s="25" t="s">
        <v>17</v>
      </c>
      <c r="D262" s="25" t="s">
        <v>18</v>
      </c>
      <c r="E262" s="25" t="s">
        <v>127</v>
      </c>
      <c r="F262" s="25" t="s">
        <v>2757</v>
      </c>
      <c r="G262" s="25" t="s">
        <v>2760</v>
      </c>
      <c r="H262" s="25" t="s">
        <v>2865</v>
      </c>
      <c r="I262" s="25" t="s">
        <v>2761</v>
      </c>
      <c r="J262" s="26" t="s">
        <v>2754</v>
      </c>
      <c r="K262" s="26" t="s">
        <v>2755</v>
      </c>
      <c r="L262" s="26">
        <v>127</v>
      </c>
      <c r="M262" s="26" t="s">
        <v>2756</v>
      </c>
    </row>
    <row r="263" spans="1:13" ht="33.6" customHeight="1" x14ac:dyDescent="0.3">
      <c r="A263" s="25" t="s">
        <v>623</v>
      </c>
      <c r="B263" s="25" t="s">
        <v>2865</v>
      </c>
      <c r="C263" s="25" t="s">
        <v>17</v>
      </c>
      <c r="D263" s="25" t="s">
        <v>18</v>
      </c>
      <c r="E263" s="25" t="s">
        <v>127</v>
      </c>
      <c r="F263" s="25" t="s">
        <v>2757</v>
      </c>
      <c r="G263" s="25" t="s">
        <v>2796</v>
      </c>
      <c r="H263" s="25" t="s">
        <v>2865</v>
      </c>
      <c r="I263" s="25" t="s">
        <v>2797</v>
      </c>
      <c r="J263" s="26" t="s">
        <v>2754</v>
      </c>
      <c r="K263" s="26" t="s">
        <v>2755</v>
      </c>
      <c r="L263" s="26">
        <v>127</v>
      </c>
      <c r="M263" s="26" t="s">
        <v>2756</v>
      </c>
    </row>
    <row r="264" spans="1:13" ht="33.6" customHeight="1" x14ac:dyDescent="0.3">
      <c r="A264" s="25" t="s">
        <v>629</v>
      </c>
      <c r="B264" s="25" t="s">
        <v>2866</v>
      </c>
      <c r="C264" s="25" t="s">
        <v>17</v>
      </c>
      <c r="D264" s="25" t="s">
        <v>18</v>
      </c>
      <c r="E264" s="25" t="s">
        <v>260</v>
      </c>
      <c r="F264" s="25" t="s">
        <v>2768</v>
      </c>
      <c r="G264" s="25" t="s">
        <v>2769</v>
      </c>
      <c r="H264" s="25" t="s">
        <v>2866</v>
      </c>
      <c r="I264" s="25" t="s">
        <v>2815</v>
      </c>
      <c r="J264" s="26" t="s">
        <v>2754</v>
      </c>
      <c r="K264" s="26" t="s">
        <v>2755</v>
      </c>
      <c r="L264" s="26">
        <v>75</v>
      </c>
      <c r="M264" s="26" t="s">
        <v>2756</v>
      </c>
    </row>
    <row r="265" spans="1:13" ht="33.6" customHeight="1" x14ac:dyDescent="0.3">
      <c r="A265" s="25" t="s">
        <v>629</v>
      </c>
      <c r="B265" s="25" t="s">
        <v>2866</v>
      </c>
      <c r="C265" s="25" t="s">
        <v>17</v>
      </c>
      <c r="D265" s="25" t="s">
        <v>18</v>
      </c>
      <c r="E265" s="25" t="s">
        <v>66</v>
      </c>
      <c r="F265" s="25" t="s">
        <v>2751</v>
      </c>
      <c r="G265" s="25" t="s">
        <v>2773</v>
      </c>
      <c r="H265" s="25" t="s">
        <v>2866</v>
      </c>
      <c r="I265" s="25" t="s">
        <v>2774</v>
      </c>
      <c r="J265" s="26" t="s">
        <v>2754</v>
      </c>
      <c r="K265" s="26" t="s">
        <v>2755</v>
      </c>
      <c r="L265" s="26">
        <v>123</v>
      </c>
      <c r="M265" s="26" t="s">
        <v>2756</v>
      </c>
    </row>
    <row r="266" spans="1:13" ht="33.6" customHeight="1" x14ac:dyDescent="0.3">
      <c r="A266" s="25" t="s">
        <v>629</v>
      </c>
      <c r="B266" s="25" t="s">
        <v>2866</v>
      </c>
      <c r="C266" s="25" t="s">
        <v>17</v>
      </c>
      <c r="D266" s="25" t="s">
        <v>18</v>
      </c>
      <c r="E266" s="25" t="s">
        <v>66</v>
      </c>
      <c r="F266" s="25" t="s">
        <v>2751</v>
      </c>
      <c r="G266" s="25" t="s">
        <v>2784</v>
      </c>
      <c r="H266" s="25" t="s">
        <v>2866</v>
      </c>
      <c r="I266" s="25" t="s">
        <v>2785</v>
      </c>
      <c r="J266" s="26" t="s">
        <v>2754</v>
      </c>
      <c r="K266" s="26" t="s">
        <v>2755</v>
      </c>
      <c r="L266" s="26">
        <v>123</v>
      </c>
      <c r="M266" s="26" t="s">
        <v>2756</v>
      </c>
    </row>
    <row r="267" spans="1:13" ht="33.6" customHeight="1" x14ac:dyDescent="0.3">
      <c r="A267" s="25" t="s">
        <v>629</v>
      </c>
      <c r="B267" s="25" t="s">
        <v>2866</v>
      </c>
      <c r="C267" s="25" t="s">
        <v>17</v>
      </c>
      <c r="D267" s="25" t="s">
        <v>18</v>
      </c>
      <c r="E267" s="25" t="s">
        <v>66</v>
      </c>
      <c r="F267" s="25" t="s">
        <v>2751</v>
      </c>
      <c r="G267" s="25" t="s">
        <v>2775</v>
      </c>
      <c r="H267" s="25" t="s">
        <v>2866</v>
      </c>
      <c r="I267" s="25" t="s">
        <v>2776</v>
      </c>
      <c r="J267" s="26" t="s">
        <v>2754</v>
      </c>
      <c r="K267" s="26" t="s">
        <v>2755</v>
      </c>
      <c r="L267" s="26">
        <v>123</v>
      </c>
      <c r="M267" s="26" t="s">
        <v>2756</v>
      </c>
    </row>
    <row r="268" spans="1:13" ht="33.6" customHeight="1" x14ac:dyDescent="0.3">
      <c r="A268" s="25" t="s">
        <v>629</v>
      </c>
      <c r="B268" s="25" t="s">
        <v>2866</v>
      </c>
      <c r="C268" s="25" t="s">
        <v>17</v>
      </c>
      <c r="D268" s="25" t="s">
        <v>18</v>
      </c>
      <c r="E268" s="25" t="s">
        <v>127</v>
      </c>
      <c r="F268" s="25" t="s">
        <v>2757</v>
      </c>
      <c r="G268" s="25" t="s">
        <v>2812</v>
      </c>
      <c r="H268" s="25" t="s">
        <v>2866</v>
      </c>
      <c r="I268" s="25" t="s">
        <v>2813</v>
      </c>
      <c r="J268" s="26" t="s">
        <v>2754</v>
      </c>
      <c r="K268" s="26" t="s">
        <v>2755</v>
      </c>
      <c r="L268" s="26">
        <v>127</v>
      </c>
      <c r="M268" s="26" t="s">
        <v>2756</v>
      </c>
    </row>
    <row r="269" spans="1:13" ht="33.6" customHeight="1" x14ac:dyDescent="0.3">
      <c r="A269" s="25" t="s">
        <v>635</v>
      </c>
      <c r="B269" s="25" t="s">
        <v>636</v>
      </c>
      <c r="C269" s="25" t="s">
        <v>17</v>
      </c>
      <c r="D269" s="25" t="s">
        <v>18</v>
      </c>
      <c r="E269" s="25" t="s">
        <v>127</v>
      </c>
      <c r="F269" s="25" t="s">
        <v>2757</v>
      </c>
      <c r="G269" s="25" t="s">
        <v>2760</v>
      </c>
      <c r="H269" s="25" t="s">
        <v>636</v>
      </c>
      <c r="I269" s="25" t="s">
        <v>2761</v>
      </c>
      <c r="J269" s="26" t="s">
        <v>2754</v>
      </c>
      <c r="K269" s="26" t="s">
        <v>2755</v>
      </c>
      <c r="L269" s="26">
        <v>127</v>
      </c>
      <c r="M269" s="26" t="s">
        <v>2756</v>
      </c>
    </row>
    <row r="270" spans="1:13" ht="33.6" customHeight="1" x14ac:dyDescent="0.3">
      <c r="A270" s="25" t="s">
        <v>661</v>
      </c>
      <c r="B270" s="25" t="s">
        <v>662</v>
      </c>
      <c r="C270" s="25" t="s">
        <v>17</v>
      </c>
      <c r="D270" s="25" t="s">
        <v>18</v>
      </c>
      <c r="E270" s="25" t="s">
        <v>260</v>
      </c>
      <c r="F270" s="25" t="s">
        <v>2768</v>
      </c>
      <c r="G270" s="25" t="s">
        <v>2769</v>
      </c>
      <c r="H270" s="25" t="s">
        <v>662</v>
      </c>
      <c r="I270" s="25" t="s">
        <v>2815</v>
      </c>
      <c r="J270" s="26" t="s">
        <v>2754</v>
      </c>
      <c r="K270" s="26" t="s">
        <v>2755</v>
      </c>
      <c r="L270" s="26">
        <v>75</v>
      </c>
      <c r="M270" s="26" t="s">
        <v>2756</v>
      </c>
    </row>
    <row r="271" spans="1:13" ht="33.6" customHeight="1" x14ac:dyDescent="0.3">
      <c r="A271" s="25" t="s">
        <v>661</v>
      </c>
      <c r="B271" s="25" t="s">
        <v>662</v>
      </c>
      <c r="C271" s="25" t="s">
        <v>17</v>
      </c>
      <c r="D271" s="25" t="s">
        <v>18</v>
      </c>
      <c r="E271" s="25" t="s">
        <v>66</v>
      </c>
      <c r="F271" s="25" t="s">
        <v>2751</v>
      </c>
      <c r="G271" s="25" t="s">
        <v>2775</v>
      </c>
      <c r="H271" s="25" t="s">
        <v>662</v>
      </c>
      <c r="I271" s="25" t="s">
        <v>2806</v>
      </c>
      <c r="J271" s="26" t="s">
        <v>2754</v>
      </c>
      <c r="K271" s="26" t="s">
        <v>2755</v>
      </c>
      <c r="L271" s="26">
        <v>123</v>
      </c>
      <c r="M271" s="26" t="s">
        <v>2756</v>
      </c>
    </row>
    <row r="272" spans="1:13" ht="33.6" customHeight="1" x14ac:dyDescent="0.3">
      <c r="A272" s="25" t="s">
        <v>661</v>
      </c>
      <c r="B272" s="25" t="s">
        <v>662</v>
      </c>
      <c r="C272" s="25" t="s">
        <v>17</v>
      </c>
      <c r="D272" s="25" t="s">
        <v>18</v>
      </c>
      <c r="E272" s="25" t="s">
        <v>127</v>
      </c>
      <c r="F272" s="25" t="s">
        <v>2757</v>
      </c>
      <c r="G272" s="25" t="s">
        <v>2758</v>
      </c>
      <c r="H272" s="25" t="s">
        <v>662</v>
      </c>
      <c r="I272" s="25" t="s">
        <v>2779</v>
      </c>
      <c r="J272" s="26" t="s">
        <v>2754</v>
      </c>
      <c r="K272" s="26" t="s">
        <v>2755</v>
      </c>
      <c r="L272" s="26">
        <v>127</v>
      </c>
      <c r="M272" s="26" t="s">
        <v>2756</v>
      </c>
    </row>
    <row r="273" spans="1:13" ht="33.6" customHeight="1" x14ac:dyDescent="0.3">
      <c r="A273" s="25" t="s">
        <v>667</v>
      </c>
      <c r="B273" s="25" t="s">
        <v>668</v>
      </c>
      <c r="C273" s="25" t="s">
        <v>17</v>
      </c>
      <c r="D273" s="25" t="s">
        <v>18</v>
      </c>
      <c r="E273" s="25" t="s">
        <v>127</v>
      </c>
      <c r="F273" s="25" t="s">
        <v>2757</v>
      </c>
      <c r="G273" s="25" t="s">
        <v>2758</v>
      </c>
      <c r="H273" s="25" t="s">
        <v>668</v>
      </c>
      <c r="I273" s="25" t="s">
        <v>2779</v>
      </c>
      <c r="J273" s="26" t="s">
        <v>2754</v>
      </c>
      <c r="K273" s="26" t="s">
        <v>2755</v>
      </c>
      <c r="L273" s="26">
        <v>127</v>
      </c>
      <c r="M273" s="26" t="s">
        <v>2756</v>
      </c>
    </row>
    <row r="274" spans="1:13" ht="33.6" customHeight="1" x14ac:dyDescent="0.3">
      <c r="A274" s="25" t="s">
        <v>673</v>
      </c>
      <c r="B274" s="25" t="s">
        <v>674</v>
      </c>
      <c r="C274" s="25" t="s">
        <v>17</v>
      </c>
      <c r="D274" s="25" t="s">
        <v>18</v>
      </c>
      <c r="E274" s="25" t="s">
        <v>66</v>
      </c>
      <c r="F274" s="25" t="s">
        <v>2751</v>
      </c>
      <c r="G274" s="25" t="s">
        <v>2773</v>
      </c>
      <c r="H274" s="25" t="s">
        <v>674</v>
      </c>
      <c r="I274" s="25" t="s">
        <v>2774</v>
      </c>
      <c r="J274" s="26" t="s">
        <v>2754</v>
      </c>
      <c r="K274" s="26" t="s">
        <v>2755</v>
      </c>
      <c r="L274" s="26">
        <v>123</v>
      </c>
      <c r="M274" s="26" t="s">
        <v>2756</v>
      </c>
    </row>
    <row r="275" spans="1:13" ht="33.6" customHeight="1" x14ac:dyDescent="0.3">
      <c r="A275" s="25" t="s">
        <v>673</v>
      </c>
      <c r="B275" s="25" t="s">
        <v>674</v>
      </c>
      <c r="C275" s="25" t="s">
        <v>17</v>
      </c>
      <c r="D275" s="25" t="s">
        <v>18</v>
      </c>
      <c r="E275" s="25" t="s">
        <v>66</v>
      </c>
      <c r="F275" s="25" t="s">
        <v>2751</v>
      </c>
      <c r="G275" s="25" t="s">
        <v>2775</v>
      </c>
      <c r="H275" s="25" t="s">
        <v>674</v>
      </c>
      <c r="I275" s="25" t="s">
        <v>2776</v>
      </c>
      <c r="J275" s="26" t="s">
        <v>2754</v>
      </c>
      <c r="K275" s="26" t="s">
        <v>2755</v>
      </c>
      <c r="L275" s="26">
        <v>123</v>
      </c>
      <c r="M275" s="26" t="s">
        <v>2756</v>
      </c>
    </row>
    <row r="276" spans="1:13" ht="33.6" customHeight="1" x14ac:dyDescent="0.3">
      <c r="A276" s="25" t="s">
        <v>673</v>
      </c>
      <c r="B276" s="25" t="s">
        <v>674</v>
      </c>
      <c r="C276" s="25" t="s">
        <v>17</v>
      </c>
      <c r="D276" s="25" t="s">
        <v>18</v>
      </c>
      <c r="E276" s="25" t="s">
        <v>66</v>
      </c>
      <c r="F276" s="25" t="s">
        <v>2751</v>
      </c>
      <c r="G276" s="25" t="s">
        <v>2752</v>
      </c>
      <c r="H276" s="25" t="s">
        <v>674</v>
      </c>
      <c r="I276" s="25" t="s">
        <v>2753</v>
      </c>
      <c r="J276" s="26" t="s">
        <v>2754</v>
      </c>
      <c r="K276" s="26" t="s">
        <v>2755</v>
      </c>
      <c r="L276" s="26">
        <v>123</v>
      </c>
      <c r="M276" s="26" t="s">
        <v>2756</v>
      </c>
    </row>
    <row r="277" spans="1:13" ht="33.6" customHeight="1" x14ac:dyDescent="0.3">
      <c r="A277" s="25" t="s">
        <v>673</v>
      </c>
      <c r="B277" s="25" t="s">
        <v>674</v>
      </c>
      <c r="C277" s="25" t="s">
        <v>17</v>
      </c>
      <c r="D277" s="25" t="s">
        <v>18</v>
      </c>
      <c r="E277" s="25" t="s">
        <v>127</v>
      </c>
      <c r="F277" s="25" t="s">
        <v>2757</v>
      </c>
      <c r="G277" s="25" t="s">
        <v>2786</v>
      </c>
      <c r="H277" s="25" t="s">
        <v>674</v>
      </c>
      <c r="I277" s="25" t="s">
        <v>2787</v>
      </c>
      <c r="J277" s="26" t="s">
        <v>2754</v>
      </c>
      <c r="K277" s="26" t="s">
        <v>2755</v>
      </c>
      <c r="L277" s="26">
        <v>127</v>
      </c>
      <c r="M277" s="26" t="s">
        <v>2756</v>
      </c>
    </row>
    <row r="278" spans="1:13" ht="33.6" customHeight="1" x14ac:dyDescent="0.3">
      <c r="A278" s="25" t="s">
        <v>679</v>
      </c>
      <c r="B278" s="25" t="s">
        <v>680</v>
      </c>
      <c r="C278" s="25" t="s">
        <v>17</v>
      </c>
      <c r="D278" s="25" t="s">
        <v>18</v>
      </c>
      <c r="E278" s="25" t="s">
        <v>66</v>
      </c>
      <c r="F278" s="25" t="s">
        <v>2751</v>
      </c>
      <c r="G278" s="25" t="s">
        <v>2773</v>
      </c>
      <c r="H278" s="25" t="s">
        <v>680</v>
      </c>
      <c r="I278" s="25" t="s">
        <v>2774</v>
      </c>
      <c r="J278" s="26" t="s">
        <v>2754</v>
      </c>
      <c r="K278" s="26" t="s">
        <v>2755</v>
      </c>
      <c r="L278" s="26">
        <v>123</v>
      </c>
      <c r="M278" s="26" t="s">
        <v>2756</v>
      </c>
    </row>
    <row r="279" spans="1:13" ht="33.6" customHeight="1" x14ac:dyDescent="0.3">
      <c r="A279" s="25" t="s">
        <v>679</v>
      </c>
      <c r="B279" s="25" t="s">
        <v>680</v>
      </c>
      <c r="C279" s="25" t="s">
        <v>17</v>
      </c>
      <c r="D279" s="25" t="s">
        <v>18</v>
      </c>
      <c r="E279" s="25" t="s">
        <v>66</v>
      </c>
      <c r="F279" s="25" t="s">
        <v>2751</v>
      </c>
      <c r="G279" s="25" t="s">
        <v>2775</v>
      </c>
      <c r="H279" s="25" t="s">
        <v>680</v>
      </c>
      <c r="I279" s="25" t="s">
        <v>2776</v>
      </c>
      <c r="J279" s="26" t="s">
        <v>2754</v>
      </c>
      <c r="K279" s="26" t="s">
        <v>2755</v>
      </c>
      <c r="L279" s="26">
        <v>123</v>
      </c>
      <c r="M279" s="26" t="s">
        <v>2756</v>
      </c>
    </row>
    <row r="280" spans="1:13" ht="33.6" customHeight="1" x14ac:dyDescent="0.3">
      <c r="A280" s="25" t="s">
        <v>679</v>
      </c>
      <c r="B280" s="25" t="s">
        <v>680</v>
      </c>
      <c r="C280" s="25" t="s">
        <v>17</v>
      </c>
      <c r="D280" s="25" t="s">
        <v>18</v>
      </c>
      <c r="E280" s="25" t="s">
        <v>127</v>
      </c>
      <c r="F280" s="25" t="s">
        <v>2757</v>
      </c>
      <c r="G280" s="25" t="s">
        <v>2792</v>
      </c>
      <c r="H280" s="25" t="s">
        <v>680</v>
      </c>
      <c r="I280" s="25" t="s">
        <v>2793</v>
      </c>
      <c r="J280" s="26" t="s">
        <v>2754</v>
      </c>
      <c r="K280" s="26" t="s">
        <v>2755</v>
      </c>
      <c r="L280" s="26">
        <v>127</v>
      </c>
      <c r="M280" s="26" t="s">
        <v>2756</v>
      </c>
    </row>
    <row r="281" spans="1:13" ht="33.6" customHeight="1" x14ac:dyDescent="0.3">
      <c r="A281" s="25" t="s">
        <v>679</v>
      </c>
      <c r="B281" s="25" t="s">
        <v>680</v>
      </c>
      <c r="C281" s="25" t="s">
        <v>17</v>
      </c>
      <c r="D281" s="25" t="s">
        <v>18</v>
      </c>
      <c r="E281" s="25" t="s">
        <v>127</v>
      </c>
      <c r="F281" s="25" t="s">
        <v>2757</v>
      </c>
      <c r="G281" s="25" t="s">
        <v>2758</v>
      </c>
      <c r="H281" s="25" t="s">
        <v>680</v>
      </c>
      <c r="I281" s="25" t="s">
        <v>2759</v>
      </c>
      <c r="J281" s="26" t="s">
        <v>2754</v>
      </c>
      <c r="K281" s="26" t="s">
        <v>2755</v>
      </c>
      <c r="L281" s="26">
        <v>127</v>
      </c>
      <c r="M281" s="26" t="s">
        <v>2756</v>
      </c>
    </row>
    <row r="282" spans="1:13" ht="33.6" customHeight="1" x14ac:dyDescent="0.3">
      <c r="A282" s="25" t="s">
        <v>691</v>
      </c>
      <c r="B282" s="25" t="s">
        <v>692</v>
      </c>
      <c r="C282" s="25" t="s">
        <v>17</v>
      </c>
      <c r="D282" s="25" t="s">
        <v>18</v>
      </c>
      <c r="E282" s="25" t="s">
        <v>66</v>
      </c>
      <c r="F282" s="25" t="s">
        <v>2751</v>
      </c>
      <c r="G282" s="25" t="s">
        <v>2773</v>
      </c>
      <c r="H282" s="25" t="s">
        <v>692</v>
      </c>
      <c r="I282" s="25" t="s">
        <v>2774</v>
      </c>
      <c r="J282" s="26" t="s">
        <v>2754</v>
      </c>
      <c r="K282" s="26" t="s">
        <v>2755</v>
      </c>
      <c r="L282" s="26">
        <v>123</v>
      </c>
      <c r="M282" s="26" t="s">
        <v>2756</v>
      </c>
    </row>
    <row r="283" spans="1:13" ht="33.6" customHeight="1" x14ac:dyDescent="0.3">
      <c r="A283" s="25" t="s">
        <v>691</v>
      </c>
      <c r="B283" s="25" t="s">
        <v>692</v>
      </c>
      <c r="C283" s="25" t="s">
        <v>17</v>
      </c>
      <c r="D283" s="25" t="s">
        <v>18</v>
      </c>
      <c r="E283" s="25" t="s">
        <v>66</v>
      </c>
      <c r="F283" s="25" t="s">
        <v>2751</v>
      </c>
      <c r="G283" s="25" t="s">
        <v>2775</v>
      </c>
      <c r="H283" s="25" t="s">
        <v>692</v>
      </c>
      <c r="I283" s="25" t="s">
        <v>2776</v>
      </c>
      <c r="J283" s="26" t="s">
        <v>2754</v>
      </c>
      <c r="K283" s="26" t="s">
        <v>2755</v>
      </c>
      <c r="L283" s="26">
        <v>123</v>
      </c>
      <c r="M283" s="26" t="s">
        <v>2756</v>
      </c>
    </row>
    <row r="284" spans="1:13" ht="33.6" customHeight="1" x14ac:dyDescent="0.3">
      <c r="A284" s="25" t="s">
        <v>691</v>
      </c>
      <c r="B284" s="25" t="s">
        <v>692</v>
      </c>
      <c r="C284" s="25" t="s">
        <v>17</v>
      </c>
      <c r="D284" s="25" t="s">
        <v>18</v>
      </c>
      <c r="E284" s="25" t="s">
        <v>127</v>
      </c>
      <c r="F284" s="25" t="s">
        <v>2757</v>
      </c>
      <c r="G284" s="25" t="s">
        <v>2796</v>
      </c>
      <c r="H284" s="25" t="s">
        <v>692</v>
      </c>
      <c r="I284" s="25" t="s">
        <v>2797</v>
      </c>
      <c r="J284" s="26" t="s">
        <v>2754</v>
      </c>
      <c r="K284" s="26" t="s">
        <v>2755</v>
      </c>
      <c r="L284" s="26">
        <v>127</v>
      </c>
      <c r="M284" s="26" t="s">
        <v>2756</v>
      </c>
    </row>
    <row r="285" spans="1:13" ht="33.6" customHeight="1" x14ac:dyDescent="0.3">
      <c r="A285" s="25" t="s">
        <v>697</v>
      </c>
      <c r="B285" s="25" t="s">
        <v>698</v>
      </c>
      <c r="C285" s="25" t="s">
        <v>17</v>
      </c>
      <c r="D285" s="25" t="s">
        <v>18</v>
      </c>
      <c r="E285" s="25" t="s">
        <v>66</v>
      </c>
      <c r="F285" s="25" t="s">
        <v>2751</v>
      </c>
      <c r="G285" s="25" t="s">
        <v>2773</v>
      </c>
      <c r="H285" s="25" t="s">
        <v>698</v>
      </c>
      <c r="I285" s="25" t="s">
        <v>2774</v>
      </c>
      <c r="J285" s="26" t="s">
        <v>2754</v>
      </c>
      <c r="K285" s="26" t="s">
        <v>2755</v>
      </c>
      <c r="L285" s="26">
        <v>123</v>
      </c>
      <c r="M285" s="26" t="s">
        <v>2756</v>
      </c>
    </row>
    <row r="286" spans="1:13" ht="33.6" customHeight="1" x14ac:dyDescent="0.3">
      <c r="A286" s="25" t="s">
        <v>697</v>
      </c>
      <c r="B286" s="25" t="s">
        <v>698</v>
      </c>
      <c r="C286" s="25" t="s">
        <v>17</v>
      </c>
      <c r="D286" s="25" t="s">
        <v>18</v>
      </c>
      <c r="E286" s="25" t="s">
        <v>66</v>
      </c>
      <c r="F286" s="25" t="s">
        <v>2751</v>
      </c>
      <c r="G286" s="25" t="s">
        <v>2775</v>
      </c>
      <c r="H286" s="25" t="s">
        <v>698</v>
      </c>
      <c r="I286" s="25" t="s">
        <v>2776</v>
      </c>
      <c r="J286" s="26" t="s">
        <v>2754</v>
      </c>
      <c r="K286" s="26" t="s">
        <v>2755</v>
      </c>
      <c r="L286" s="26">
        <v>123</v>
      </c>
      <c r="M286" s="26" t="s">
        <v>2756</v>
      </c>
    </row>
    <row r="287" spans="1:13" ht="33.6" customHeight="1" x14ac:dyDescent="0.3">
      <c r="A287" s="25" t="s">
        <v>697</v>
      </c>
      <c r="B287" s="25" t="s">
        <v>698</v>
      </c>
      <c r="C287" s="25" t="s">
        <v>17</v>
      </c>
      <c r="D287" s="25" t="s">
        <v>18</v>
      </c>
      <c r="E287" s="25" t="s">
        <v>127</v>
      </c>
      <c r="F287" s="25" t="s">
        <v>2757</v>
      </c>
      <c r="G287" s="25" t="s">
        <v>2760</v>
      </c>
      <c r="H287" s="25" t="s">
        <v>698</v>
      </c>
      <c r="I287" s="25" t="s">
        <v>2761</v>
      </c>
      <c r="J287" s="26" t="s">
        <v>2754</v>
      </c>
      <c r="K287" s="26" t="s">
        <v>2755</v>
      </c>
      <c r="L287" s="26">
        <v>127</v>
      </c>
      <c r="M287" s="26" t="s">
        <v>2756</v>
      </c>
    </row>
    <row r="288" spans="1:13" ht="33.6" customHeight="1" x14ac:dyDescent="0.3">
      <c r="A288" s="25" t="s">
        <v>697</v>
      </c>
      <c r="B288" s="25" t="s">
        <v>698</v>
      </c>
      <c r="C288" s="25" t="s">
        <v>17</v>
      </c>
      <c r="D288" s="25" t="s">
        <v>18</v>
      </c>
      <c r="E288" s="25" t="s">
        <v>127</v>
      </c>
      <c r="F288" s="25" t="s">
        <v>2757</v>
      </c>
      <c r="G288" s="25" t="s">
        <v>2758</v>
      </c>
      <c r="H288" s="25" t="s">
        <v>698</v>
      </c>
      <c r="I288" s="25" t="s">
        <v>2759</v>
      </c>
      <c r="J288" s="26" t="s">
        <v>2754</v>
      </c>
      <c r="K288" s="26" t="s">
        <v>2755</v>
      </c>
      <c r="L288" s="26">
        <v>127</v>
      </c>
      <c r="M288" s="26" t="s">
        <v>2756</v>
      </c>
    </row>
    <row r="289" spans="1:13" ht="33.6" customHeight="1" x14ac:dyDescent="0.3">
      <c r="A289" s="25" t="s">
        <v>703</v>
      </c>
      <c r="B289" s="25" t="s">
        <v>704</v>
      </c>
      <c r="C289" s="25" t="s">
        <v>17</v>
      </c>
      <c r="D289" s="25" t="s">
        <v>18</v>
      </c>
      <c r="E289" s="25" t="s">
        <v>210</v>
      </c>
      <c r="F289" s="25" t="s">
        <v>2765</v>
      </c>
      <c r="G289" s="25" t="s">
        <v>2782</v>
      </c>
      <c r="H289" s="25" t="s">
        <v>704</v>
      </c>
      <c r="I289" s="25" t="s">
        <v>2783</v>
      </c>
      <c r="J289" s="26" t="s">
        <v>2754</v>
      </c>
      <c r="K289" s="26" t="s">
        <v>2755</v>
      </c>
      <c r="L289" s="26">
        <v>38</v>
      </c>
      <c r="M289" s="26" t="s">
        <v>2756</v>
      </c>
    </row>
    <row r="290" spans="1:13" ht="33.6" customHeight="1" x14ac:dyDescent="0.3">
      <c r="A290" s="25" t="s">
        <v>703</v>
      </c>
      <c r="B290" s="25" t="s">
        <v>704</v>
      </c>
      <c r="C290" s="25" t="s">
        <v>17</v>
      </c>
      <c r="D290" s="25" t="s">
        <v>18</v>
      </c>
      <c r="E290" s="25" t="s">
        <v>260</v>
      </c>
      <c r="F290" s="25" t="s">
        <v>2768</v>
      </c>
      <c r="G290" s="25" t="s">
        <v>2769</v>
      </c>
      <c r="H290" s="25" t="s">
        <v>704</v>
      </c>
      <c r="I290" s="25" t="s">
        <v>2815</v>
      </c>
      <c r="J290" s="26" t="s">
        <v>2754</v>
      </c>
      <c r="K290" s="26" t="s">
        <v>2755</v>
      </c>
      <c r="L290" s="26">
        <v>75</v>
      </c>
      <c r="M290" s="26" t="s">
        <v>2756</v>
      </c>
    </row>
    <row r="291" spans="1:13" ht="33.6" customHeight="1" x14ac:dyDescent="0.3">
      <c r="A291" s="25" t="s">
        <v>703</v>
      </c>
      <c r="B291" s="25" t="s">
        <v>704</v>
      </c>
      <c r="C291" s="25" t="s">
        <v>17</v>
      </c>
      <c r="D291" s="25" t="s">
        <v>18</v>
      </c>
      <c r="E291" s="25" t="s">
        <v>66</v>
      </c>
      <c r="F291" s="25" t="s">
        <v>2751</v>
      </c>
      <c r="G291" s="25" t="s">
        <v>2775</v>
      </c>
      <c r="H291" s="25" t="s">
        <v>704</v>
      </c>
      <c r="I291" s="25" t="s">
        <v>2776</v>
      </c>
      <c r="J291" s="26" t="s">
        <v>2754</v>
      </c>
      <c r="K291" s="26" t="s">
        <v>2755</v>
      </c>
      <c r="L291" s="26">
        <v>123</v>
      </c>
      <c r="M291" s="26" t="s">
        <v>2756</v>
      </c>
    </row>
    <row r="292" spans="1:13" ht="33.6" customHeight="1" x14ac:dyDescent="0.3">
      <c r="A292" s="25" t="s">
        <v>703</v>
      </c>
      <c r="B292" s="25" t="s">
        <v>704</v>
      </c>
      <c r="C292" s="25" t="s">
        <v>17</v>
      </c>
      <c r="D292" s="25" t="s">
        <v>18</v>
      </c>
      <c r="E292" s="25" t="s">
        <v>127</v>
      </c>
      <c r="F292" s="25" t="s">
        <v>2757</v>
      </c>
      <c r="G292" s="25" t="s">
        <v>2758</v>
      </c>
      <c r="H292" s="25" t="s">
        <v>704</v>
      </c>
      <c r="I292" s="25" t="s">
        <v>2779</v>
      </c>
      <c r="J292" s="26" t="s">
        <v>2754</v>
      </c>
      <c r="K292" s="26" t="s">
        <v>2755</v>
      </c>
      <c r="L292" s="26">
        <v>127</v>
      </c>
      <c r="M292" s="26" t="s">
        <v>2756</v>
      </c>
    </row>
    <row r="293" spans="1:13" ht="33.6" customHeight="1" x14ac:dyDescent="0.3">
      <c r="A293" s="25" t="s">
        <v>715</v>
      </c>
      <c r="B293" s="25" t="s">
        <v>716</v>
      </c>
      <c r="C293" s="25" t="s">
        <v>17</v>
      </c>
      <c r="D293" s="25" t="s">
        <v>18</v>
      </c>
      <c r="E293" s="25" t="s">
        <v>210</v>
      </c>
      <c r="F293" s="25" t="s">
        <v>2765</v>
      </c>
      <c r="G293" s="25" t="s">
        <v>2818</v>
      </c>
      <c r="H293" s="25" t="s">
        <v>716</v>
      </c>
      <c r="I293" s="25" t="s">
        <v>2822</v>
      </c>
      <c r="J293" s="26" t="s">
        <v>2754</v>
      </c>
      <c r="K293" s="26" t="s">
        <v>2755</v>
      </c>
      <c r="L293" s="26">
        <v>38</v>
      </c>
      <c r="M293" s="26" t="s">
        <v>2756</v>
      </c>
    </row>
    <row r="294" spans="1:13" ht="33.6" customHeight="1" x14ac:dyDescent="0.3">
      <c r="A294" s="25" t="s">
        <v>715</v>
      </c>
      <c r="B294" s="25" t="s">
        <v>716</v>
      </c>
      <c r="C294" s="25" t="s">
        <v>17</v>
      </c>
      <c r="D294" s="25" t="s">
        <v>18</v>
      </c>
      <c r="E294" s="25" t="s">
        <v>260</v>
      </c>
      <c r="F294" s="25" t="s">
        <v>2768</v>
      </c>
      <c r="G294" s="25" t="s">
        <v>2769</v>
      </c>
      <c r="H294" s="25" t="s">
        <v>716</v>
      </c>
      <c r="I294" s="25" t="s">
        <v>2815</v>
      </c>
      <c r="J294" s="26" t="s">
        <v>2754</v>
      </c>
      <c r="K294" s="26" t="s">
        <v>2755</v>
      </c>
      <c r="L294" s="26">
        <v>75</v>
      </c>
      <c r="M294" s="26" t="s">
        <v>2756</v>
      </c>
    </row>
    <row r="295" spans="1:13" ht="33.6" customHeight="1" x14ac:dyDescent="0.3">
      <c r="A295" s="25" t="s">
        <v>715</v>
      </c>
      <c r="B295" s="25" t="s">
        <v>716</v>
      </c>
      <c r="C295" s="25" t="s">
        <v>17</v>
      </c>
      <c r="D295" s="25" t="s">
        <v>18</v>
      </c>
      <c r="E295" s="25" t="s">
        <v>66</v>
      </c>
      <c r="F295" s="25" t="s">
        <v>2751</v>
      </c>
      <c r="G295" s="25" t="s">
        <v>2775</v>
      </c>
      <c r="H295" s="25" t="s">
        <v>716</v>
      </c>
      <c r="I295" s="25" t="s">
        <v>2806</v>
      </c>
      <c r="J295" s="26" t="s">
        <v>2754</v>
      </c>
      <c r="K295" s="26" t="s">
        <v>2755</v>
      </c>
      <c r="L295" s="26">
        <v>123</v>
      </c>
      <c r="M295" s="26" t="s">
        <v>2756</v>
      </c>
    </row>
    <row r="296" spans="1:13" ht="33.6" customHeight="1" x14ac:dyDescent="0.3">
      <c r="A296" s="25" t="s">
        <v>727</v>
      </c>
      <c r="B296" s="25" t="s">
        <v>728</v>
      </c>
      <c r="C296" s="25" t="s">
        <v>17</v>
      </c>
      <c r="D296" s="25" t="s">
        <v>18</v>
      </c>
      <c r="E296" s="25" t="s">
        <v>210</v>
      </c>
      <c r="F296" s="25" t="s">
        <v>2765</v>
      </c>
      <c r="G296" s="25" t="s">
        <v>2818</v>
      </c>
      <c r="H296" s="25" t="s">
        <v>728</v>
      </c>
      <c r="I296" s="25" t="s">
        <v>2819</v>
      </c>
      <c r="J296" s="26" t="s">
        <v>2754</v>
      </c>
      <c r="K296" s="26" t="s">
        <v>2755</v>
      </c>
      <c r="L296" s="26">
        <v>38</v>
      </c>
      <c r="M296" s="26" t="s">
        <v>2756</v>
      </c>
    </row>
    <row r="297" spans="1:13" ht="33.6" customHeight="1" x14ac:dyDescent="0.3">
      <c r="A297" s="25" t="s">
        <v>727</v>
      </c>
      <c r="B297" s="25" t="s">
        <v>728</v>
      </c>
      <c r="C297" s="25" t="s">
        <v>17</v>
      </c>
      <c r="D297" s="25" t="s">
        <v>18</v>
      </c>
      <c r="E297" s="25" t="s">
        <v>210</v>
      </c>
      <c r="F297" s="25" t="s">
        <v>2765</v>
      </c>
      <c r="G297" s="25" t="s">
        <v>2780</v>
      </c>
      <c r="H297" s="25" t="s">
        <v>728</v>
      </c>
      <c r="I297" s="25" t="s">
        <v>2781</v>
      </c>
      <c r="J297" s="26" t="s">
        <v>2754</v>
      </c>
      <c r="K297" s="26" t="s">
        <v>2755</v>
      </c>
      <c r="L297" s="26">
        <v>38</v>
      </c>
      <c r="M297" s="26" t="s">
        <v>2756</v>
      </c>
    </row>
    <row r="298" spans="1:13" ht="33.6" customHeight="1" x14ac:dyDescent="0.3">
      <c r="A298" s="25" t="s">
        <v>727</v>
      </c>
      <c r="B298" s="25" t="s">
        <v>728</v>
      </c>
      <c r="C298" s="25" t="s">
        <v>17</v>
      </c>
      <c r="D298" s="25" t="s">
        <v>18</v>
      </c>
      <c r="E298" s="25" t="s">
        <v>66</v>
      </c>
      <c r="F298" s="25" t="s">
        <v>2751</v>
      </c>
      <c r="G298" s="25" t="s">
        <v>2775</v>
      </c>
      <c r="H298" s="25" t="s">
        <v>728</v>
      </c>
      <c r="I298" s="25" t="s">
        <v>2806</v>
      </c>
      <c r="J298" s="26" t="s">
        <v>2754</v>
      </c>
      <c r="K298" s="26" t="s">
        <v>2755</v>
      </c>
      <c r="L298" s="26">
        <v>123</v>
      </c>
      <c r="M298" s="26" t="s">
        <v>2756</v>
      </c>
    </row>
    <row r="299" spans="1:13" ht="33.6" customHeight="1" x14ac:dyDescent="0.3">
      <c r="A299" s="25" t="s">
        <v>727</v>
      </c>
      <c r="B299" s="25" t="s">
        <v>728</v>
      </c>
      <c r="C299" s="25" t="s">
        <v>17</v>
      </c>
      <c r="D299" s="25" t="s">
        <v>18</v>
      </c>
      <c r="E299" s="25" t="s">
        <v>127</v>
      </c>
      <c r="F299" s="25" t="s">
        <v>2757</v>
      </c>
      <c r="G299" s="25" t="s">
        <v>2796</v>
      </c>
      <c r="H299" s="25" t="s">
        <v>728</v>
      </c>
      <c r="I299" s="25" t="s">
        <v>2797</v>
      </c>
      <c r="J299" s="26" t="s">
        <v>2754</v>
      </c>
      <c r="K299" s="26" t="s">
        <v>2755</v>
      </c>
      <c r="L299" s="26">
        <v>127</v>
      </c>
      <c r="M299" s="26" t="s">
        <v>2756</v>
      </c>
    </row>
    <row r="300" spans="1:13" ht="33.6" customHeight="1" x14ac:dyDescent="0.3">
      <c r="A300" s="25" t="s">
        <v>727</v>
      </c>
      <c r="B300" s="25" t="s">
        <v>728</v>
      </c>
      <c r="C300" s="25" t="s">
        <v>17</v>
      </c>
      <c r="D300" s="25" t="s">
        <v>18</v>
      </c>
      <c r="E300" s="25" t="s">
        <v>127</v>
      </c>
      <c r="F300" s="25" t="s">
        <v>2757</v>
      </c>
      <c r="G300" s="25" t="s">
        <v>2792</v>
      </c>
      <c r="H300" s="25" t="s">
        <v>728</v>
      </c>
      <c r="I300" s="25" t="s">
        <v>2793</v>
      </c>
      <c r="J300" s="26" t="s">
        <v>2754</v>
      </c>
      <c r="K300" s="26" t="s">
        <v>2755</v>
      </c>
      <c r="L300" s="26">
        <v>127</v>
      </c>
      <c r="M300" s="26" t="s">
        <v>2756</v>
      </c>
    </row>
    <row r="301" spans="1:13" ht="33.6" customHeight="1" x14ac:dyDescent="0.3">
      <c r="A301" s="25" t="s">
        <v>739</v>
      </c>
      <c r="B301" s="25" t="s">
        <v>740</v>
      </c>
      <c r="C301" s="25" t="s">
        <v>17</v>
      </c>
      <c r="D301" s="25" t="s">
        <v>18</v>
      </c>
      <c r="E301" s="25" t="s">
        <v>66</v>
      </c>
      <c r="F301" s="25" t="s">
        <v>2751</v>
      </c>
      <c r="G301" s="25" t="s">
        <v>2773</v>
      </c>
      <c r="H301" s="25" t="s">
        <v>740</v>
      </c>
      <c r="I301" s="25" t="s">
        <v>2774</v>
      </c>
      <c r="J301" s="26" t="s">
        <v>2754</v>
      </c>
      <c r="K301" s="26" t="s">
        <v>2755</v>
      </c>
      <c r="L301" s="26">
        <v>123</v>
      </c>
      <c r="M301" s="26" t="s">
        <v>2756</v>
      </c>
    </row>
    <row r="302" spans="1:13" ht="33.6" customHeight="1" x14ac:dyDescent="0.3">
      <c r="A302" s="25" t="s">
        <v>739</v>
      </c>
      <c r="B302" s="25" t="s">
        <v>740</v>
      </c>
      <c r="C302" s="25" t="s">
        <v>17</v>
      </c>
      <c r="D302" s="25" t="s">
        <v>18</v>
      </c>
      <c r="E302" s="25" t="s">
        <v>66</v>
      </c>
      <c r="F302" s="25" t="s">
        <v>2751</v>
      </c>
      <c r="G302" s="25" t="s">
        <v>2775</v>
      </c>
      <c r="H302" s="25" t="s">
        <v>740</v>
      </c>
      <c r="I302" s="25" t="s">
        <v>2776</v>
      </c>
      <c r="J302" s="26" t="s">
        <v>2754</v>
      </c>
      <c r="K302" s="26" t="s">
        <v>2755</v>
      </c>
      <c r="L302" s="26">
        <v>123</v>
      </c>
      <c r="M302" s="26" t="s">
        <v>2756</v>
      </c>
    </row>
    <row r="303" spans="1:13" ht="33.6" customHeight="1" x14ac:dyDescent="0.3">
      <c r="A303" s="25" t="s">
        <v>739</v>
      </c>
      <c r="B303" s="25" t="s">
        <v>740</v>
      </c>
      <c r="C303" s="25" t="s">
        <v>17</v>
      </c>
      <c r="D303" s="25" t="s">
        <v>18</v>
      </c>
      <c r="E303" s="25" t="s">
        <v>127</v>
      </c>
      <c r="F303" s="25" t="s">
        <v>2757</v>
      </c>
      <c r="G303" s="25" t="s">
        <v>2758</v>
      </c>
      <c r="H303" s="25" t="s">
        <v>740</v>
      </c>
      <c r="I303" s="25" t="s">
        <v>2759</v>
      </c>
      <c r="J303" s="26" t="s">
        <v>2754</v>
      </c>
      <c r="K303" s="26" t="s">
        <v>2755</v>
      </c>
      <c r="L303" s="26">
        <v>127</v>
      </c>
      <c r="M303" s="26" t="s">
        <v>2756</v>
      </c>
    </row>
    <row r="304" spans="1:13" ht="33.6" customHeight="1" x14ac:dyDescent="0.3">
      <c r="A304" s="25" t="s">
        <v>739</v>
      </c>
      <c r="B304" s="25" t="s">
        <v>740</v>
      </c>
      <c r="C304" s="25" t="s">
        <v>17</v>
      </c>
      <c r="D304" s="25" t="s">
        <v>18</v>
      </c>
      <c r="E304" s="25" t="s">
        <v>885</v>
      </c>
      <c r="F304" s="25" t="s">
        <v>2762</v>
      </c>
      <c r="G304" s="25" t="s">
        <v>2763</v>
      </c>
      <c r="H304" s="25" t="s">
        <v>740</v>
      </c>
      <c r="I304" s="25" t="s">
        <v>2816</v>
      </c>
      <c r="J304" s="26" t="s">
        <v>2754</v>
      </c>
      <c r="K304" s="26" t="s">
        <v>2755</v>
      </c>
      <c r="L304" s="26">
        <v>14</v>
      </c>
      <c r="M304" s="26" t="s">
        <v>2756</v>
      </c>
    </row>
    <row r="305" spans="1:13" ht="33.6" customHeight="1" x14ac:dyDescent="0.3">
      <c r="A305" s="25" t="s">
        <v>751</v>
      </c>
      <c r="B305" s="25" t="s">
        <v>752</v>
      </c>
      <c r="C305" s="25" t="s">
        <v>17</v>
      </c>
      <c r="D305" s="25" t="s">
        <v>18</v>
      </c>
      <c r="E305" s="25" t="s">
        <v>260</v>
      </c>
      <c r="F305" s="25" t="s">
        <v>2768</v>
      </c>
      <c r="G305" s="25" t="s">
        <v>2769</v>
      </c>
      <c r="H305" s="25" t="s">
        <v>752</v>
      </c>
      <c r="I305" s="25" t="s">
        <v>2815</v>
      </c>
      <c r="J305" s="26" t="s">
        <v>2754</v>
      </c>
      <c r="K305" s="26" t="s">
        <v>2755</v>
      </c>
      <c r="L305" s="26">
        <v>75</v>
      </c>
      <c r="M305" s="26" t="s">
        <v>2756</v>
      </c>
    </row>
    <row r="306" spans="1:13" ht="33.6" customHeight="1" x14ac:dyDescent="0.3">
      <c r="A306" s="25" t="s">
        <v>751</v>
      </c>
      <c r="B306" s="25" t="s">
        <v>752</v>
      </c>
      <c r="C306" s="25" t="s">
        <v>17</v>
      </c>
      <c r="D306" s="25" t="s">
        <v>18</v>
      </c>
      <c r="E306" s="25" t="s">
        <v>66</v>
      </c>
      <c r="F306" s="25" t="s">
        <v>2751</v>
      </c>
      <c r="G306" s="25" t="s">
        <v>2773</v>
      </c>
      <c r="H306" s="25" t="s">
        <v>752</v>
      </c>
      <c r="I306" s="25" t="s">
        <v>2774</v>
      </c>
      <c r="J306" s="26" t="s">
        <v>2754</v>
      </c>
      <c r="K306" s="26" t="s">
        <v>2755</v>
      </c>
      <c r="L306" s="26">
        <v>123</v>
      </c>
      <c r="M306" s="26" t="s">
        <v>2756</v>
      </c>
    </row>
    <row r="307" spans="1:13" ht="33.6" customHeight="1" x14ac:dyDescent="0.3">
      <c r="A307" s="25" t="s">
        <v>751</v>
      </c>
      <c r="B307" s="25" t="s">
        <v>752</v>
      </c>
      <c r="C307" s="25" t="s">
        <v>17</v>
      </c>
      <c r="D307" s="25" t="s">
        <v>18</v>
      </c>
      <c r="E307" s="25" t="s">
        <v>66</v>
      </c>
      <c r="F307" s="25" t="s">
        <v>2751</v>
      </c>
      <c r="G307" s="25" t="s">
        <v>2775</v>
      </c>
      <c r="H307" s="25" t="s">
        <v>752</v>
      </c>
      <c r="I307" s="25" t="s">
        <v>2776</v>
      </c>
      <c r="J307" s="26" t="s">
        <v>2754</v>
      </c>
      <c r="K307" s="26" t="s">
        <v>2755</v>
      </c>
      <c r="L307" s="26">
        <v>123</v>
      </c>
      <c r="M307" s="26" t="s">
        <v>2756</v>
      </c>
    </row>
    <row r="308" spans="1:13" ht="33.6" customHeight="1" x14ac:dyDescent="0.3">
      <c r="A308" s="25" t="s">
        <v>751</v>
      </c>
      <c r="B308" s="25" t="s">
        <v>752</v>
      </c>
      <c r="C308" s="25" t="s">
        <v>17</v>
      </c>
      <c r="D308" s="25" t="s">
        <v>18</v>
      </c>
      <c r="E308" s="25" t="s">
        <v>127</v>
      </c>
      <c r="F308" s="25" t="s">
        <v>2757</v>
      </c>
      <c r="G308" s="25" t="s">
        <v>2758</v>
      </c>
      <c r="H308" s="25" t="s">
        <v>752</v>
      </c>
      <c r="I308" s="25" t="s">
        <v>2779</v>
      </c>
      <c r="J308" s="26" t="s">
        <v>2754</v>
      </c>
      <c r="K308" s="26" t="s">
        <v>2755</v>
      </c>
      <c r="L308" s="26">
        <v>127</v>
      </c>
      <c r="M308" s="26" t="s">
        <v>2756</v>
      </c>
    </row>
    <row r="309" spans="1:13" ht="33.6" customHeight="1" x14ac:dyDescent="0.3">
      <c r="A309" s="25" t="s">
        <v>757</v>
      </c>
      <c r="B309" s="25" t="s">
        <v>758</v>
      </c>
      <c r="C309" s="25" t="s">
        <v>17</v>
      </c>
      <c r="D309" s="25" t="s">
        <v>18</v>
      </c>
      <c r="E309" s="25" t="s">
        <v>66</v>
      </c>
      <c r="F309" s="25" t="s">
        <v>2751</v>
      </c>
      <c r="G309" s="25" t="s">
        <v>2773</v>
      </c>
      <c r="H309" s="25" t="s">
        <v>758</v>
      </c>
      <c r="I309" s="25" t="s">
        <v>2774</v>
      </c>
      <c r="J309" s="26" t="s">
        <v>2754</v>
      </c>
      <c r="K309" s="26" t="s">
        <v>2755</v>
      </c>
      <c r="L309" s="26">
        <v>123</v>
      </c>
      <c r="M309" s="26" t="s">
        <v>2756</v>
      </c>
    </row>
    <row r="310" spans="1:13" ht="33.6" customHeight="1" x14ac:dyDescent="0.3">
      <c r="A310" s="25" t="s">
        <v>757</v>
      </c>
      <c r="B310" s="25" t="s">
        <v>758</v>
      </c>
      <c r="C310" s="25" t="s">
        <v>17</v>
      </c>
      <c r="D310" s="25" t="s">
        <v>18</v>
      </c>
      <c r="E310" s="25" t="s">
        <v>66</v>
      </c>
      <c r="F310" s="25" t="s">
        <v>2751</v>
      </c>
      <c r="G310" s="25" t="s">
        <v>2775</v>
      </c>
      <c r="H310" s="25" t="s">
        <v>758</v>
      </c>
      <c r="I310" s="25" t="s">
        <v>2776</v>
      </c>
      <c r="J310" s="26" t="s">
        <v>2754</v>
      </c>
      <c r="K310" s="26" t="s">
        <v>2755</v>
      </c>
      <c r="L310" s="26">
        <v>123</v>
      </c>
      <c r="M310" s="26" t="s">
        <v>2756</v>
      </c>
    </row>
    <row r="311" spans="1:13" ht="33.6" customHeight="1" x14ac:dyDescent="0.3">
      <c r="A311" s="25" t="s">
        <v>757</v>
      </c>
      <c r="B311" s="25" t="s">
        <v>758</v>
      </c>
      <c r="C311" s="25" t="s">
        <v>17</v>
      </c>
      <c r="D311" s="25" t="s">
        <v>18</v>
      </c>
      <c r="E311" s="25" t="s">
        <v>127</v>
      </c>
      <c r="F311" s="25" t="s">
        <v>2757</v>
      </c>
      <c r="G311" s="25" t="s">
        <v>2760</v>
      </c>
      <c r="H311" s="25" t="s">
        <v>758</v>
      </c>
      <c r="I311" s="25" t="s">
        <v>2761</v>
      </c>
      <c r="J311" s="26" t="s">
        <v>2754</v>
      </c>
      <c r="K311" s="26" t="s">
        <v>2755</v>
      </c>
      <c r="L311" s="26">
        <v>127</v>
      </c>
      <c r="M311" s="26" t="s">
        <v>2756</v>
      </c>
    </row>
    <row r="312" spans="1:13" ht="33.6" customHeight="1" x14ac:dyDescent="0.3">
      <c r="A312" s="25" t="s">
        <v>1491</v>
      </c>
      <c r="B312" s="25" t="s">
        <v>1492</v>
      </c>
      <c r="C312" s="25" t="s">
        <v>1494</v>
      </c>
      <c r="D312" s="25" t="s">
        <v>18</v>
      </c>
      <c r="E312" s="25" t="s">
        <v>210</v>
      </c>
      <c r="F312" s="25" t="s">
        <v>2765</v>
      </c>
      <c r="G312" s="25" t="s">
        <v>2780</v>
      </c>
      <c r="H312" s="25" t="s">
        <v>1492</v>
      </c>
      <c r="I312" s="25" t="s">
        <v>2781</v>
      </c>
      <c r="J312" s="26" t="s">
        <v>2754</v>
      </c>
      <c r="K312" s="26" t="s">
        <v>2755</v>
      </c>
      <c r="L312" s="26">
        <v>38</v>
      </c>
      <c r="M312" s="26" t="s">
        <v>2756</v>
      </c>
    </row>
    <row r="313" spans="1:13" ht="33.6" customHeight="1" x14ac:dyDescent="0.3">
      <c r="A313" s="25" t="s">
        <v>1491</v>
      </c>
      <c r="B313" s="25" t="s">
        <v>1492</v>
      </c>
      <c r="C313" s="25" t="s">
        <v>1494</v>
      </c>
      <c r="D313" s="25" t="s">
        <v>18</v>
      </c>
      <c r="E313" s="25" t="s">
        <v>260</v>
      </c>
      <c r="F313" s="25" t="s">
        <v>2768</v>
      </c>
      <c r="G313" s="25" t="s">
        <v>2769</v>
      </c>
      <c r="H313" s="25" t="s">
        <v>1492</v>
      </c>
      <c r="I313" s="25" t="s">
        <v>2815</v>
      </c>
      <c r="J313" s="26" t="s">
        <v>2754</v>
      </c>
      <c r="K313" s="26" t="s">
        <v>2755</v>
      </c>
      <c r="L313" s="26">
        <v>75</v>
      </c>
      <c r="M313" s="26" t="s">
        <v>2756</v>
      </c>
    </row>
    <row r="314" spans="1:13" ht="33.6" customHeight="1" x14ac:dyDescent="0.3">
      <c r="A314" s="25" t="s">
        <v>1491</v>
      </c>
      <c r="B314" s="25" t="s">
        <v>1492</v>
      </c>
      <c r="C314" s="25" t="s">
        <v>1494</v>
      </c>
      <c r="D314" s="25" t="s">
        <v>18</v>
      </c>
      <c r="E314" s="25" t="s">
        <v>66</v>
      </c>
      <c r="F314" s="25" t="s">
        <v>2751</v>
      </c>
      <c r="G314" s="25" t="s">
        <v>2773</v>
      </c>
      <c r="H314" s="25" t="s">
        <v>1492</v>
      </c>
      <c r="I314" s="25" t="s">
        <v>2774</v>
      </c>
      <c r="J314" s="26" t="s">
        <v>2754</v>
      </c>
      <c r="K314" s="26" t="s">
        <v>2755</v>
      </c>
      <c r="L314" s="26">
        <v>123</v>
      </c>
      <c r="M314" s="26" t="s">
        <v>2756</v>
      </c>
    </row>
    <row r="315" spans="1:13" ht="33.6" customHeight="1" x14ac:dyDescent="0.3">
      <c r="A315" s="25" t="s">
        <v>1491</v>
      </c>
      <c r="B315" s="25" t="s">
        <v>1492</v>
      </c>
      <c r="C315" s="25" t="s">
        <v>1494</v>
      </c>
      <c r="D315" s="25" t="s">
        <v>18</v>
      </c>
      <c r="E315" s="25" t="s">
        <v>66</v>
      </c>
      <c r="F315" s="25" t="s">
        <v>2751</v>
      </c>
      <c r="G315" s="25" t="s">
        <v>2775</v>
      </c>
      <c r="H315" s="25" t="s">
        <v>1492</v>
      </c>
      <c r="I315" s="25" t="s">
        <v>2776</v>
      </c>
      <c r="J315" s="26" t="s">
        <v>2754</v>
      </c>
      <c r="K315" s="26" t="s">
        <v>2755</v>
      </c>
      <c r="L315" s="26">
        <v>123</v>
      </c>
      <c r="M315" s="26" t="s">
        <v>2756</v>
      </c>
    </row>
    <row r="316" spans="1:13" ht="33.6" customHeight="1" x14ac:dyDescent="0.3">
      <c r="A316" s="25" t="s">
        <v>1491</v>
      </c>
      <c r="B316" s="25" t="s">
        <v>1492</v>
      </c>
      <c r="C316" s="25" t="s">
        <v>1494</v>
      </c>
      <c r="D316" s="25" t="s">
        <v>18</v>
      </c>
      <c r="E316" s="25" t="s">
        <v>127</v>
      </c>
      <c r="F316" s="25" t="s">
        <v>2757</v>
      </c>
      <c r="G316" s="25" t="s">
        <v>2812</v>
      </c>
      <c r="H316" s="25" t="s">
        <v>1492</v>
      </c>
      <c r="I316" s="25" t="s">
        <v>2813</v>
      </c>
      <c r="J316" s="26" t="s">
        <v>2754</v>
      </c>
      <c r="K316" s="26" t="s">
        <v>2755</v>
      </c>
      <c r="L316" s="26">
        <v>127</v>
      </c>
      <c r="M316" s="26" t="s">
        <v>2756</v>
      </c>
    </row>
    <row r="317" spans="1:13" ht="33.6" customHeight="1" x14ac:dyDescent="0.3">
      <c r="A317" s="25" t="s">
        <v>1498</v>
      </c>
      <c r="B317" s="25" t="s">
        <v>1499</v>
      </c>
      <c r="C317" s="25" t="s">
        <v>1494</v>
      </c>
      <c r="D317" s="25" t="s">
        <v>18</v>
      </c>
      <c r="E317" s="25" t="s">
        <v>66</v>
      </c>
      <c r="F317" s="25" t="s">
        <v>2751</v>
      </c>
      <c r="G317" s="25" t="s">
        <v>2773</v>
      </c>
      <c r="H317" s="25" t="s">
        <v>1499</v>
      </c>
      <c r="I317" s="25" t="s">
        <v>2774</v>
      </c>
      <c r="J317" s="26" t="s">
        <v>2754</v>
      </c>
      <c r="K317" s="26" t="s">
        <v>2755</v>
      </c>
      <c r="L317" s="26">
        <v>123</v>
      </c>
      <c r="M317" s="26" t="s">
        <v>2756</v>
      </c>
    </row>
    <row r="318" spans="1:13" ht="33.6" customHeight="1" x14ac:dyDescent="0.3">
      <c r="A318" s="25" t="s">
        <v>1498</v>
      </c>
      <c r="B318" s="25" t="s">
        <v>1499</v>
      </c>
      <c r="C318" s="25" t="s">
        <v>1494</v>
      </c>
      <c r="D318" s="25" t="s">
        <v>18</v>
      </c>
      <c r="E318" s="25" t="s">
        <v>66</v>
      </c>
      <c r="F318" s="25" t="s">
        <v>2751</v>
      </c>
      <c r="G318" s="25" t="s">
        <v>2775</v>
      </c>
      <c r="H318" s="25" t="s">
        <v>1499</v>
      </c>
      <c r="I318" s="25" t="s">
        <v>2776</v>
      </c>
      <c r="J318" s="26" t="s">
        <v>2754</v>
      </c>
      <c r="K318" s="26" t="s">
        <v>2755</v>
      </c>
      <c r="L318" s="26">
        <v>123</v>
      </c>
      <c r="M318" s="26" t="s">
        <v>2756</v>
      </c>
    </row>
    <row r="319" spans="1:13" ht="33.6" customHeight="1" x14ac:dyDescent="0.3">
      <c r="A319" s="25" t="s">
        <v>1507</v>
      </c>
      <c r="B319" s="25" t="s">
        <v>1508</v>
      </c>
      <c r="C319" s="25" t="s">
        <v>1494</v>
      </c>
      <c r="D319" s="25" t="s">
        <v>18</v>
      </c>
      <c r="E319" s="25" t="s">
        <v>210</v>
      </c>
      <c r="F319" s="25" t="s">
        <v>2765</v>
      </c>
      <c r="G319" s="25" t="s">
        <v>2818</v>
      </c>
      <c r="H319" s="25" t="s">
        <v>1508</v>
      </c>
      <c r="I319" s="25" t="s">
        <v>2822</v>
      </c>
      <c r="J319" s="26" t="s">
        <v>2754</v>
      </c>
      <c r="K319" s="26" t="s">
        <v>2755</v>
      </c>
      <c r="L319" s="26">
        <v>38</v>
      </c>
      <c r="M319" s="26" t="s">
        <v>2756</v>
      </c>
    </row>
    <row r="320" spans="1:13" ht="33.6" customHeight="1" x14ac:dyDescent="0.3">
      <c r="A320" s="25" t="s">
        <v>1507</v>
      </c>
      <c r="B320" s="25" t="s">
        <v>1508</v>
      </c>
      <c r="C320" s="25" t="s">
        <v>1494</v>
      </c>
      <c r="D320" s="25" t="s">
        <v>18</v>
      </c>
      <c r="E320" s="25" t="s">
        <v>51</v>
      </c>
      <c r="F320" s="25" t="s">
        <v>2809</v>
      </c>
      <c r="G320" s="25" t="s">
        <v>2810</v>
      </c>
      <c r="H320" s="25" t="s">
        <v>1508</v>
      </c>
      <c r="I320" s="25" t="s">
        <v>2867</v>
      </c>
      <c r="J320" s="26" t="s">
        <v>2754</v>
      </c>
      <c r="K320" s="26" t="s">
        <v>2755</v>
      </c>
      <c r="L320" s="26">
        <v>21</v>
      </c>
      <c r="M320" s="26" t="s">
        <v>2756</v>
      </c>
    </row>
    <row r="321" spans="1:13" ht="33.6" customHeight="1" x14ac:dyDescent="0.3">
      <c r="A321" s="25" t="s">
        <v>1507</v>
      </c>
      <c r="B321" s="25" t="s">
        <v>1508</v>
      </c>
      <c r="C321" s="25" t="s">
        <v>1494</v>
      </c>
      <c r="D321" s="25" t="s">
        <v>18</v>
      </c>
      <c r="E321" s="25" t="s">
        <v>127</v>
      </c>
      <c r="F321" s="25" t="s">
        <v>2757</v>
      </c>
      <c r="G321" s="25" t="s">
        <v>2758</v>
      </c>
      <c r="H321" s="25" t="s">
        <v>1508</v>
      </c>
      <c r="I321" s="25" t="s">
        <v>2779</v>
      </c>
      <c r="J321" s="26" t="s">
        <v>2754</v>
      </c>
      <c r="K321" s="26" t="s">
        <v>2755</v>
      </c>
      <c r="L321" s="26">
        <v>127</v>
      </c>
      <c r="M321" s="26" t="s">
        <v>2756</v>
      </c>
    </row>
    <row r="322" spans="1:13" ht="33.6" customHeight="1" x14ac:dyDescent="0.3">
      <c r="A322" s="25" t="s">
        <v>1514</v>
      </c>
      <c r="B322" s="25" t="s">
        <v>1515</v>
      </c>
      <c r="C322" s="25" t="s">
        <v>1494</v>
      </c>
      <c r="D322" s="25" t="s">
        <v>18</v>
      </c>
      <c r="E322" s="25" t="s">
        <v>210</v>
      </c>
      <c r="F322" s="25" t="s">
        <v>2765</v>
      </c>
      <c r="G322" s="25" t="s">
        <v>2818</v>
      </c>
      <c r="H322" s="25" t="s">
        <v>1515</v>
      </c>
      <c r="I322" s="25" t="s">
        <v>2822</v>
      </c>
      <c r="J322" s="26" t="s">
        <v>2754</v>
      </c>
      <c r="K322" s="26" t="s">
        <v>2755</v>
      </c>
      <c r="L322" s="26">
        <v>38</v>
      </c>
      <c r="M322" s="26" t="s">
        <v>2756</v>
      </c>
    </row>
    <row r="323" spans="1:13" ht="33.6" customHeight="1" x14ac:dyDescent="0.3">
      <c r="A323" s="25" t="s">
        <v>1514</v>
      </c>
      <c r="B323" s="25" t="s">
        <v>1515</v>
      </c>
      <c r="C323" s="25" t="s">
        <v>1494</v>
      </c>
      <c r="D323" s="25" t="s">
        <v>18</v>
      </c>
      <c r="E323" s="25" t="s">
        <v>260</v>
      </c>
      <c r="F323" s="25" t="s">
        <v>2768</v>
      </c>
      <c r="G323" s="25" t="s">
        <v>2769</v>
      </c>
      <c r="H323" s="25" t="s">
        <v>1515</v>
      </c>
      <c r="I323" s="25" t="s">
        <v>2815</v>
      </c>
      <c r="J323" s="26" t="s">
        <v>2754</v>
      </c>
      <c r="K323" s="26" t="s">
        <v>2755</v>
      </c>
      <c r="L323" s="26">
        <v>75</v>
      </c>
      <c r="M323" s="26" t="s">
        <v>2756</v>
      </c>
    </row>
    <row r="324" spans="1:13" ht="33.6" customHeight="1" x14ac:dyDescent="0.3">
      <c r="A324" s="25" t="s">
        <v>1514</v>
      </c>
      <c r="B324" s="25" t="s">
        <v>1515</v>
      </c>
      <c r="C324" s="25" t="s">
        <v>1494</v>
      </c>
      <c r="D324" s="25" t="s">
        <v>18</v>
      </c>
      <c r="E324" s="25" t="s">
        <v>66</v>
      </c>
      <c r="F324" s="25" t="s">
        <v>2751</v>
      </c>
      <c r="G324" s="25" t="s">
        <v>2773</v>
      </c>
      <c r="H324" s="25" t="s">
        <v>1515</v>
      </c>
      <c r="I324" s="25" t="s">
        <v>2774</v>
      </c>
      <c r="J324" s="26" t="s">
        <v>2754</v>
      </c>
      <c r="K324" s="26" t="s">
        <v>2755</v>
      </c>
      <c r="L324" s="26">
        <v>123</v>
      </c>
      <c r="M324" s="26" t="s">
        <v>2756</v>
      </c>
    </row>
    <row r="325" spans="1:13" ht="33.6" customHeight="1" x14ac:dyDescent="0.3">
      <c r="A325" s="25" t="s">
        <v>1514</v>
      </c>
      <c r="B325" s="25" t="s">
        <v>1515</v>
      </c>
      <c r="C325" s="25" t="s">
        <v>1494</v>
      </c>
      <c r="D325" s="25" t="s">
        <v>18</v>
      </c>
      <c r="E325" s="25" t="s">
        <v>66</v>
      </c>
      <c r="F325" s="25" t="s">
        <v>2751</v>
      </c>
      <c r="G325" s="25" t="s">
        <v>2775</v>
      </c>
      <c r="H325" s="25" t="s">
        <v>1515</v>
      </c>
      <c r="I325" s="25" t="s">
        <v>2776</v>
      </c>
      <c r="J325" s="26" t="s">
        <v>2754</v>
      </c>
      <c r="K325" s="26" t="s">
        <v>2755</v>
      </c>
      <c r="L325" s="26">
        <v>123</v>
      </c>
      <c r="M325" s="26" t="s">
        <v>2756</v>
      </c>
    </row>
    <row r="326" spans="1:13" ht="33.6" customHeight="1" x14ac:dyDescent="0.3">
      <c r="A326" s="25" t="s">
        <v>1527</v>
      </c>
      <c r="B326" s="25" t="s">
        <v>1528</v>
      </c>
      <c r="C326" s="25" t="s">
        <v>1494</v>
      </c>
      <c r="D326" s="25" t="s">
        <v>18</v>
      </c>
      <c r="E326" s="25" t="s">
        <v>66</v>
      </c>
      <c r="F326" s="25" t="s">
        <v>2751</v>
      </c>
      <c r="G326" s="25" t="s">
        <v>2773</v>
      </c>
      <c r="H326" s="25" t="s">
        <v>1528</v>
      </c>
      <c r="I326" s="25" t="s">
        <v>2774</v>
      </c>
      <c r="J326" s="26" t="s">
        <v>2754</v>
      </c>
      <c r="K326" s="26" t="s">
        <v>2755</v>
      </c>
      <c r="L326" s="26">
        <v>123</v>
      </c>
      <c r="M326" s="26" t="s">
        <v>2756</v>
      </c>
    </row>
    <row r="327" spans="1:13" ht="33.6" customHeight="1" x14ac:dyDescent="0.3">
      <c r="A327" s="25" t="s">
        <v>1527</v>
      </c>
      <c r="B327" s="25" t="s">
        <v>1528</v>
      </c>
      <c r="C327" s="25" t="s">
        <v>1494</v>
      </c>
      <c r="D327" s="25" t="s">
        <v>18</v>
      </c>
      <c r="E327" s="25" t="s">
        <v>127</v>
      </c>
      <c r="F327" s="25" t="s">
        <v>2757</v>
      </c>
      <c r="G327" s="25" t="s">
        <v>2758</v>
      </c>
      <c r="H327" s="25" t="s">
        <v>1528</v>
      </c>
      <c r="I327" s="25" t="s">
        <v>2779</v>
      </c>
      <c r="J327" s="26" t="s">
        <v>2754</v>
      </c>
      <c r="K327" s="26" t="s">
        <v>2755</v>
      </c>
      <c r="L327" s="26">
        <v>127</v>
      </c>
      <c r="M327" s="26" t="s">
        <v>2756</v>
      </c>
    </row>
    <row r="328" spans="1:13" ht="33.6" customHeight="1" x14ac:dyDescent="0.3">
      <c r="A328" s="25" t="s">
        <v>1533</v>
      </c>
      <c r="B328" s="25" t="s">
        <v>1534</v>
      </c>
      <c r="C328" s="25" t="s">
        <v>1494</v>
      </c>
      <c r="D328" s="25" t="s">
        <v>18</v>
      </c>
      <c r="E328" s="25" t="s">
        <v>210</v>
      </c>
      <c r="F328" s="25" t="s">
        <v>2765</v>
      </c>
      <c r="G328" s="25" t="s">
        <v>2818</v>
      </c>
      <c r="H328" s="25" t="s">
        <v>1534</v>
      </c>
      <c r="I328" s="25" t="s">
        <v>2822</v>
      </c>
      <c r="J328" s="26" t="s">
        <v>2754</v>
      </c>
      <c r="K328" s="26" t="s">
        <v>2755</v>
      </c>
      <c r="L328" s="26">
        <v>38</v>
      </c>
      <c r="M328" s="26" t="s">
        <v>2756</v>
      </c>
    </row>
    <row r="329" spans="1:13" ht="33.6" customHeight="1" x14ac:dyDescent="0.3">
      <c r="A329" s="25" t="s">
        <v>1533</v>
      </c>
      <c r="B329" s="25" t="s">
        <v>1534</v>
      </c>
      <c r="C329" s="25" t="s">
        <v>1494</v>
      </c>
      <c r="D329" s="25" t="s">
        <v>18</v>
      </c>
      <c r="E329" s="25" t="s">
        <v>260</v>
      </c>
      <c r="F329" s="25" t="s">
        <v>2768</v>
      </c>
      <c r="G329" s="25" t="s">
        <v>2769</v>
      </c>
      <c r="H329" s="25" t="s">
        <v>1534</v>
      </c>
      <c r="I329" s="25" t="s">
        <v>2815</v>
      </c>
      <c r="J329" s="26" t="s">
        <v>2754</v>
      </c>
      <c r="K329" s="26" t="s">
        <v>2755</v>
      </c>
      <c r="L329" s="26">
        <v>75</v>
      </c>
      <c r="M329" s="26" t="s">
        <v>2756</v>
      </c>
    </row>
    <row r="330" spans="1:13" ht="33.6" customHeight="1" x14ac:dyDescent="0.3">
      <c r="A330" s="25" t="s">
        <v>1533</v>
      </c>
      <c r="B330" s="25" t="s">
        <v>1534</v>
      </c>
      <c r="C330" s="25" t="s">
        <v>1494</v>
      </c>
      <c r="D330" s="25" t="s">
        <v>18</v>
      </c>
      <c r="E330" s="25" t="s">
        <v>66</v>
      </c>
      <c r="F330" s="25" t="s">
        <v>2751</v>
      </c>
      <c r="G330" s="25" t="s">
        <v>2775</v>
      </c>
      <c r="H330" s="25" t="s">
        <v>1534</v>
      </c>
      <c r="I330" s="25" t="s">
        <v>2776</v>
      </c>
      <c r="J330" s="26" t="s">
        <v>2754</v>
      </c>
      <c r="K330" s="26" t="s">
        <v>2755</v>
      </c>
      <c r="L330" s="26">
        <v>123</v>
      </c>
      <c r="M330" s="26" t="s">
        <v>2756</v>
      </c>
    </row>
    <row r="331" spans="1:13" ht="33.6" customHeight="1" x14ac:dyDescent="0.3">
      <c r="A331" s="25" t="s">
        <v>1533</v>
      </c>
      <c r="B331" s="25" t="s">
        <v>1534</v>
      </c>
      <c r="C331" s="25" t="s">
        <v>1494</v>
      </c>
      <c r="D331" s="25" t="s">
        <v>18</v>
      </c>
      <c r="E331" s="25" t="s">
        <v>127</v>
      </c>
      <c r="F331" s="25" t="s">
        <v>2757</v>
      </c>
      <c r="G331" s="25" t="s">
        <v>2758</v>
      </c>
      <c r="H331" s="25" t="s">
        <v>1534</v>
      </c>
      <c r="I331" s="25" t="s">
        <v>2779</v>
      </c>
      <c r="J331" s="26" t="s">
        <v>2754</v>
      </c>
      <c r="K331" s="26" t="s">
        <v>2755</v>
      </c>
      <c r="L331" s="26">
        <v>127</v>
      </c>
      <c r="M331" s="26" t="s">
        <v>2756</v>
      </c>
    </row>
    <row r="332" spans="1:13" ht="33.6" customHeight="1" x14ac:dyDescent="0.3">
      <c r="A332" s="25" t="s">
        <v>1539</v>
      </c>
      <c r="B332" s="25" t="s">
        <v>1540</v>
      </c>
      <c r="C332" s="25" t="s">
        <v>1494</v>
      </c>
      <c r="D332" s="25" t="s">
        <v>18</v>
      </c>
      <c r="E332" s="25" t="s">
        <v>210</v>
      </c>
      <c r="F332" s="25" t="s">
        <v>2765</v>
      </c>
      <c r="G332" s="25" t="s">
        <v>2818</v>
      </c>
      <c r="H332" s="25" t="s">
        <v>1540</v>
      </c>
      <c r="I332" s="25" t="s">
        <v>2819</v>
      </c>
      <c r="J332" s="26" t="s">
        <v>2754</v>
      </c>
      <c r="K332" s="26" t="s">
        <v>2755</v>
      </c>
      <c r="L332" s="26">
        <v>38</v>
      </c>
      <c r="M332" s="26" t="s">
        <v>2756</v>
      </c>
    </row>
    <row r="333" spans="1:13" ht="33.6" customHeight="1" x14ac:dyDescent="0.3">
      <c r="A333" s="25" t="s">
        <v>1539</v>
      </c>
      <c r="B333" s="25" t="s">
        <v>1540</v>
      </c>
      <c r="C333" s="25" t="s">
        <v>1494</v>
      </c>
      <c r="D333" s="25" t="s">
        <v>18</v>
      </c>
      <c r="E333" s="25" t="s">
        <v>260</v>
      </c>
      <c r="F333" s="25" t="s">
        <v>2768</v>
      </c>
      <c r="G333" s="25" t="s">
        <v>2769</v>
      </c>
      <c r="H333" s="25" t="s">
        <v>1540</v>
      </c>
      <c r="I333" s="25" t="s">
        <v>2770</v>
      </c>
      <c r="J333" s="26" t="s">
        <v>2754</v>
      </c>
      <c r="K333" s="26" t="s">
        <v>2755</v>
      </c>
      <c r="L333" s="26">
        <v>75</v>
      </c>
      <c r="M333" s="26" t="s">
        <v>2756</v>
      </c>
    </row>
    <row r="334" spans="1:13" ht="33.6" customHeight="1" x14ac:dyDescent="0.3">
      <c r="A334" s="25" t="s">
        <v>1539</v>
      </c>
      <c r="B334" s="25" t="s">
        <v>1540</v>
      </c>
      <c r="C334" s="25" t="s">
        <v>1494</v>
      </c>
      <c r="D334" s="25" t="s">
        <v>18</v>
      </c>
      <c r="E334" s="25" t="s">
        <v>66</v>
      </c>
      <c r="F334" s="25" t="s">
        <v>2751</v>
      </c>
      <c r="G334" s="25" t="s">
        <v>2773</v>
      </c>
      <c r="H334" s="25" t="s">
        <v>1540</v>
      </c>
      <c r="I334" s="25" t="s">
        <v>2774</v>
      </c>
      <c r="J334" s="26" t="s">
        <v>2754</v>
      </c>
      <c r="K334" s="26" t="s">
        <v>2755</v>
      </c>
      <c r="L334" s="26">
        <v>123</v>
      </c>
      <c r="M334" s="26" t="s">
        <v>2756</v>
      </c>
    </row>
    <row r="335" spans="1:13" ht="33.6" customHeight="1" x14ac:dyDescent="0.3">
      <c r="A335" s="25" t="s">
        <v>1539</v>
      </c>
      <c r="B335" s="25" t="s">
        <v>1540</v>
      </c>
      <c r="C335" s="25" t="s">
        <v>1494</v>
      </c>
      <c r="D335" s="25" t="s">
        <v>18</v>
      </c>
      <c r="E335" s="25" t="s">
        <v>66</v>
      </c>
      <c r="F335" s="25" t="s">
        <v>2751</v>
      </c>
      <c r="G335" s="25" t="s">
        <v>2775</v>
      </c>
      <c r="H335" s="25" t="s">
        <v>1540</v>
      </c>
      <c r="I335" s="25" t="s">
        <v>2776</v>
      </c>
      <c r="J335" s="26" t="s">
        <v>2754</v>
      </c>
      <c r="K335" s="26" t="s">
        <v>2755</v>
      </c>
      <c r="L335" s="26">
        <v>123</v>
      </c>
      <c r="M335" s="26" t="s">
        <v>2756</v>
      </c>
    </row>
    <row r="336" spans="1:13" ht="33.6" customHeight="1" x14ac:dyDescent="0.3">
      <c r="A336" s="25" t="s">
        <v>1539</v>
      </c>
      <c r="B336" s="25" t="s">
        <v>1540</v>
      </c>
      <c r="C336" s="25" t="s">
        <v>1494</v>
      </c>
      <c r="D336" s="25" t="s">
        <v>18</v>
      </c>
      <c r="E336" s="25" t="s">
        <v>127</v>
      </c>
      <c r="F336" s="25" t="s">
        <v>2757</v>
      </c>
      <c r="G336" s="25" t="s">
        <v>2758</v>
      </c>
      <c r="H336" s="25" t="s">
        <v>1540</v>
      </c>
      <c r="I336" s="25" t="s">
        <v>2779</v>
      </c>
      <c r="J336" s="26" t="s">
        <v>2754</v>
      </c>
      <c r="K336" s="26" t="s">
        <v>2755</v>
      </c>
      <c r="L336" s="26">
        <v>127</v>
      </c>
      <c r="M336" s="26" t="s">
        <v>2756</v>
      </c>
    </row>
    <row r="337" spans="1:13" ht="33.6" customHeight="1" x14ac:dyDescent="0.3">
      <c r="A337" s="25" t="s">
        <v>1545</v>
      </c>
      <c r="B337" s="25" t="s">
        <v>2868</v>
      </c>
      <c r="C337" s="25" t="s">
        <v>1494</v>
      </c>
      <c r="D337" s="25" t="s">
        <v>18</v>
      </c>
      <c r="E337" s="25" t="s">
        <v>210</v>
      </c>
      <c r="F337" s="25" t="s">
        <v>2765</v>
      </c>
      <c r="G337" s="25" t="s">
        <v>2818</v>
      </c>
      <c r="H337" s="25" t="s">
        <v>2868</v>
      </c>
      <c r="I337" s="25" t="s">
        <v>2822</v>
      </c>
      <c r="J337" s="26" t="s">
        <v>2754</v>
      </c>
      <c r="K337" s="26" t="s">
        <v>2755</v>
      </c>
      <c r="L337" s="26">
        <v>38</v>
      </c>
      <c r="M337" s="26" t="s">
        <v>2756</v>
      </c>
    </row>
    <row r="338" spans="1:13" ht="33.6" customHeight="1" x14ac:dyDescent="0.3">
      <c r="A338" s="25" t="s">
        <v>1545</v>
      </c>
      <c r="B338" s="25" t="s">
        <v>2868</v>
      </c>
      <c r="C338" s="25" t="s">
        <v>1494</v>
      </c>
      <c r="D338" s="25" t="s">
        <v>18</v>
      </c>
      <c r="E338" s="25" t="s">
        <v>66</v>
      </c>
      <c r="F338" s="25" t="s">
        <v>2751</v>
      </c>
      <c r="G338" s="25" t="s">
        <v>2775</v>
      </c>
      <c r="H338" s="25" t="s">
        <v>2868</v>
      </c>
      <c r="I338" s="25" t="s">
        <v>2806</v>
      </c>
      <c r="J338" s="26" t="s">
        <v>2754</v>
      </c>
      <c r="K338" s="26" t="s">
        <v>2755</v>
      </c>
      <c r="L338" s="26">
        <v>123</v>
      </c>
      <c r="M338" s="26" t="s">
        <v>2756</v>
      </c>
    </row>
    <row r="339" spans="1:13" ht="33.6" customHeight="1" x14ac:dyDescent="0.3">
      <c r="A339" s="25" t="s">
        <v>1545</v>
      </c>
      <c r="B339" s="25" t="s">
        <v>2868</v>
      </c>
      <c r="C339" s="25" t="s">
        <v>1494</v>
      </c>
      <c r="D339" s="25" t="s">
        <v>18</v>
      </c>
      <c r="E339" s="25" t="s">
        <v>127</v>
      </c>
      <c r="F339" s="25" t="s">
        <v>2757</v>
      </c>
      <c r="G339" s="25" t="s">
        <v>2758</v>
      </c>
      <c r="H339" s="25" t="s">
        <v>2868</v>
      </c>
      <c r="I339" s="25" t="s">
        <v>2779</v>
      </c>
      <c r="J339" s="26" t="s">
        <v>2754</v>
      </c>
      <c r="K339" s="26" t="s">
        <v>2755</v>
      </c>
      <c r="L339" s="26">
        <v>127</v>
      </c>
      <c r="M339" s="26" t="s">
        <v>2756</v>
      </c>
    </row>
    <row r="340" spans="1:13" ht="33.6" customHeight="1" x14ac:dyDescent="0.3">
      <c r="A340" s="25" t="s">
        <v>1551</v>
      </c>
      <c r="B340" s="25" t="s">
        <v>2869</v>
      </c>
      <c r="C340" s="25" t="s">
        <v>1494</v>
      </c>
      <c r="D340" s="25" t="s">
        <v>18</v>
      </c>
      <c r="E340" s="25" t="s">
        <v>210</v>
      </c>
      <c r="F340" s="25" t="s">
        <v>2765</v>
      </c>
      <c r="G340" s="25" t="s">
        <v>2818</v>
      </c>
      <c r="H340" s="25" t="s">
        <v>2869</v>
      </c>
      <c r="I340" s="25" t="s">
        <v>2819</v>
      </c>
      <c r="J340" s="26" t="s">
        <v>2754</v>
      </c>
      <c r="K340" s="26" t="s">
        <v>2755</v>
      </c>
      <c r="L340" s="26">
        <v>38</v>
      </c>
      <c r="M340" s="26" t="s">
        <v>2756</v>
      </c>
    </row>
    <row r="341" spans="1:13" ht="33.6" customHeight="1" x14ac:dyDescent="0.3">
      <c r="A341" s="25" t="s">
        <v>1551</v>
      </c>
      <c r="B341" s="25" t="s">
        <v>2869</v>
      </c>
      <c r="C341" s="25" t="s">
        <v>1494</v>
      </c>
      <c r="D341" s="25" t="s">
        <v>18</v>
      </c>
      <c r="E341" s="25" t="s">
        <v>66</v>
      </c>
      <c r="F341" s="25" t="s">
        <v>2751</v>
      </c>
      <c r="G341" s="25" t="s">
        <v>2773</v>
      </c>
      <c r="H341" s="25" t="s">
        <v>2869</v>
      </c>
      <c r="I341" s="25" t="s">
        <v>2774</v>
      </c>
      <c r="J341" s="26" t="s">
        <v>2754</v>
      </c>
      <c r="K341" s="26" t="s">
        <v>2755</v>
      </c>
      <c r="L341" s="26">
        <v>123</v>
      </c>
      <c r="M341" s="26" t="s">
        <v>2756</v>
      </c>
    </row>
    <row r="342" spans="1:13" ht="33.6" customHeight="1" x14ac:dyDescent="0.3">
      <c r="A342" s="25" t="s">
        <v>1551</v>
      </c>
      <c r="B342" s="25" t="s">
        <v>2869</v>
      </c>
      <c r="C342" s="25" t="s">
        <v>1494</v>
      </c>
      <c r="D342" s="25" t="s">
        <v>18</v>
      </c>
      <c r="E342" s="25" t="s">
        <v>66</v>
      </c>
      <c r="F342" s="25" t="s">
        <v>2751</v>
      </c>
      <c r="G342" s="25" t="s">
        <v>2775</v>
      </c>
      <c r="H342" s="25" t="s">
        <v>2869</v>
      </c>
      <c r="I342" s="25" t="s">
        <v>2776</v>
      </c>
      <c r="J342" s="26" t="s">
        <v>2754</v>
      </c>
      <c r="K342" s="26" t="s">
        <v>2755</v>
      </c>
      <c r="L342" s="26">
        <v>123</v>
      </c>
      <c r="M342" s="26" t="s">
        <v>2756</v>
      </c>
    </row>
    <row r="343" spans="1:13" ht="33.6" customHeight="1" x14ac:dyDescent="0.3">
      <c r="A343" s="25" t="s">
        <v>1551</v>
      </c>
      <c r="B343" s="25" t="s">
        <v>2869</v>
      </c>
      <c r="C343" s="25" t="s">
        <v>1494</v>
      </c>
      <c r="D343" s="25" t="s">
        <v>18</v>
      </c>
      <c r="E343" s="25" t="s">
        <v>127</v>
      </c>
      <c r="F343" s="25" t="s">
        <v>2757</v>
      </c>
      <c r="G343" s="25" t="s">
        <v>2758</v>
      </c>
      <c r="H343" s="25" t="s">
        <v>2869</v>
      </c>
      <c r="I343" s="25" t="s">
        <v>2779</v>
      </c>
      <c r="J343" s="26" t="s">
        <v>2754</v>
      </c>
      <c r="K343" s="26" t="s">
        <v>2755</v>
      </c>
      <c r="L343" s="26">
        <v>127</v>
      </c>
      <c r="M343" s="26" t="s">
        <v>2756</v>
      </c>
    </row>
    <row r="344" spans="1:13" ht="33.6" customHeight="1" x14ac:dyDescent="0.3">
      <c r="A344" s="25" t="s">
        <v>1561</v>
      </c>
      <c r="B344" s="25" t="s">
        <v>2870</v>
      </c>
      <c r="C344" s="25" t="s">
        <v>1494</v>
      </c>
      <c r="D344" s="25" t="s">
        <v>18</v>
      </c>
      <c r="E344" s="25" t="s">
        <v>260</v>
      </c>
      <c r="F344" s="25" t="s">
        <v>2768</v>
      </c>
      <c r="G344" s="25" t="s">
        <v>2788</v>
      </c>
      <c r="H344" s="25" t="s">
        <v>2870</v>
      </c>
      <c r="I344" s="25" t="s">
        <v>2789</v>
      </c>
      <c r="J344" s="26" t="s">
        <v>2754</v>
      </c>
      <c r="K344" s="26" t="s">
        <v>2755</v>
      </c>
      <c r="L344" s="26">
        <v>75</v>
      </c>
      <c r="M344" s="26" t="s">
        <v>2756</v>
      </c>
    </row>
    <row r="345" spans="1:13" ht="33.6" customHeight="1" x14ac:dyDescent="0.3">
      <c r="A345" s="25" t="s">
        <v>1561</v>
      </c>
      <c r="B345" s="25" t="s">
        <v>2870</v>
      </c>
      <c r="C345" s="25" t="s">
        <v>1494</v>
      </c>
      <c r="D345" s="25" t="s">
        <v>18</v>
      </c>
      <c r="E345" s="25" t="s">
        <v>127</v>
      </c>
      <c r="F345" s="25" t="s">
        <v>2757</v>
      </c>
      <c r="G345" s="25" t="s">
        <v>2758</v>
      </c>
      <c r="H345" s="25" t="s">
        <v>2870</v>
      </c>
      <c r="I345" s="25" t="s">
        <v>2779</v>
      </c>
      <c r="J345" s="26" t="s">
        <v>2754</v>
      </c>
      <c r="K345" s="26" t="s">
        <v>2755</v>
      </c>
      <c r="L345" s="26">
        <v>127</v>
      </c>
      <c r="M345" s="26" t="s">
        <v>2756</v>
      </c>
    </row>
    <row r="346" spans="1:13" ht="33.6" customHeight="1" x14ac:dyDescent="0.3">
      <c r="A346" s="25" t="s">
        <v>1567</v>
      </c>
      <c r="B346" s="25" t="s">
        <v>2871</v>
      </c>
      <c r="C346" s="25" t="s">
        <v>1494</v>
      </c>
      <c r="D346" s="25" t="s">
        <v>18</v>
      </c>
      <c r="E346" s="25" t="s">
        <v>51</v>
      </c>
      <c r="F346" s="25" t="s">
        <v>2809</v>
      </c>
      <c r="G346" s="25" t="s">
        <v>2810</v>
      </c>
      <c r="H346" s="25" t="s">
        <v>2871</v>
      </c>
      <c r="I346" s="25" t="s">
        <v>2811</v>
      </c>
      <c r="J346" s="26" t="s">
        <v>2754</v>
      </c>
      <c r="K346" s="26" t="s">
        <v>2755</v>
      </c>
      <c r="L346" s="26">
        <v>21</v>
      </c>
      <c r="M346" s="26" t="s">
        <v>2756</v>
      </c>
    </row>
    <row r="347" spans="1:13" ht="33.6" customHeight="1" x14ac:dyDescent="0.3">
      <c r="A347" s="25" t="s">
        <v>1567</v>
      </c>
      <c r="B347" s="25" t="s">
        <v>2871</v>
      </c>
      <c r="C347" s="25" t="s">
        <v>1494</v>
      </c>
      <c r="D347" s="25" t="s">
        <v>18</v>
      </c>
      <c r="E347" s="25" t="s">
        <v>66</v>
      </c>
      <c r="F347" s="25" t="s">
        <v>2751</v>
      </c>
      <c r="G347" s="25" t="s">
        <v>2773</v>
      </c>
      <c r="H347" s="25" t="s">
        <v>2871</v>
      </c>
      <c r="I347" s="25" t="s">
        <v>2774</v>
      </c>
      <c r="J347" s="26" t="s">
        <v>2754</v>
      </c>
      <c r="K347" s="26" t="s">
        <v>2755</v>
      </c>
      <c r="L347" s="26">
        <v>123</v>
      </c>
      <c r="M347" s="26" t="s">
        <v>2756</v>
      </c>
    </row>
    <row r="348" spans="1:13" ht="33.6" customHeight="1" x14ac:dyDescent="0.3">
      <c r="A348" s="25" t="s">
        <v>1567</v>
      </c>
      <c r="B348" s="25" t="s">
        <v>2871</v>
      </c>
      <c r="C348" s="25" t="s">
        <v>1494</v>
      </c>
      <c r="D348" s="25" t="s">
        <v>18</v>
      </c>
      <c r="E348" s="25" t="s">
        <v>66</v>
      </c>
      <c r="F348" s="25" t="s">
        <v>2751</v>
      </c>
      <c r="G348" s="25" t="s">
        <v>2775</v>
      </c>
      <c r="H348" s="25" t="s">
        <v>2871</v>
      </c>
      <c r="I348" s="25" t="s">
        <v>2776</v>
      </c>
      <c r="J348" s="26" t="s">
        <v>2754</v>
      </c>
      <c r="K348" s="26" t="s">
        <v>2755</v>
      </c>
      <c r="L348" s="26">
        <v>123</v>
      </c>
      <c r="M348" s="26" t="s">
        <v>2756</v>
      </c>
    </row>
    <row r="349" spans="1:13" ht="33.6" customHeight="1" x14ac:dyDescent="0.3">
      <c r="A349" s="25" t="s">
        <v>1567</v>
      </c>
      <c r="B349" s="25" t="s">
        <v>2871</v>
      </c>
      <c r="C349" s="25" t="s">
        <v>1494</v>
      </c>
      <c r="D349" s="25" t="s">
        <v>18</v>
      </c>
      <c r="E349" s="25" t="s">
        <v>127</v>
      </c>
      <c r="F349" s="25" t="s">
        <v>2757</v>
      </c>
      <c r="G349" s="25" t="s">
        <v>2760</v>
      </c>
      <c r="H349" s="25" t="s">
        <v>2871</v>
      </c>
      <c r="I349" s="25" t="s">
        <v>2761</v>
      </c>
      <c r="J349" s="26" t="s">
        <v>2754</v>
      </c>
      <c r="K349" s="26" t="s">
        <v>2755</v>
      </c>
      <c r="L349" s="26">
        <v>127</v>
      </c>
      <c r="M349" s="26" t="s">
        <v>2756</v>
      </c>
    </row>
    <row r="350" spans="1:13" ht="33.6" customHeight="1" x14ac:dyDescent="0.3">
      <c r="A350" s="25" t="s">
        <v>1583</v>
      </c>
      <c r="B350" s="25" t="s">
        <v>1584</v>
      </c>
      <c r="C350" s="25" t="s">
        <v>1494</v>
      </c>
      <c r="D350" s="25" t="s">
        <v>18</v>
      </c>
      <c r="E350" s="25" t="s">
        <v>260</v>
      </c>
      <c r="F350" s="25" t="s">
        <v>2768</v>
      </c>
      <c r="G350" s="25" t="s">
        <v>2769</v>
      </c>
      <c r="H350" s="25" t="s">
        <v>1584</v>
      </c>
      <c r="I350" s="25" t="s">
        <v>2815</v>
      </c>
      <c r="J350" s="26" t="s">
        <v>2754</v>
      </c>
      <c r="K350" s="26" t="s">
        <v>2755</v>
      </c>
      <c r="L350" s="26">
        <v>75</v>
      </c>
      <c r="M350" s="26" t="s">
        <v>2756</v>
      </c>
    </row>
    <row r="351" spans="1:13" ht="33.6" customHeight="1" x14ac:dyDescent="0.3">
      <c r="A351" s="25" t="s">
        <v>1589</v>
      </c>
      <c r="B351" s="25" t="s">
        <v>2872</v>
      </c>
      <c r="C351" s="25" t="s">
        <v>1494</v>
      </c>
      <c r="D351" s="25" t="s">
        <v>18</v>
      </c>
      <c r="E351" s="25" t="s">
        <v>260</v>
      </c>
      <c r="F351" s="25" t="s">
        <v>2768</v>
      </c>
      <c r="G351" s="25" t="s">
        <v>2769</v>
      </c>
      <c r="H351" s="25" t="s">
        <v>2872</v>
      </c>
      <c r="I351" s="25" t="s">
        <v>2770</v>
      </c>
      <c r="J351" s="26" t="s">
        <v>2754</v>
      </c>
      <c r="K351" s="26" t="s">
        <v>2755</v>
      </c>
      <c r="L351" s="26">
        <v>75</v>
      </c>
      <c r="M351" s="26" t="s">
        <v>2756</v>
      </c>
    </row>
    <row r="352" spans="1:13" ht="33.6" customHeight="1" x14ac:dyDescent="0.3">
      <c r="A352" s="25" t="s">
        <v>1589</v>
      </c>
      <c r="B352" s="25" t="s">
        <v>2872</v>
      </c>
      <c r="C352" s="25" t="s">
        <v>1494</v>
      </c>
      <c r="D352" s="25" t="s">
        <v>18</v>
      </c>
      <c r="E352" s="25" t="s">
        <v>66</v>
      </c>
      <c r="F352" s="25" t="s">
        <v>2751</v>
      </c>
      <c r="G352" s="25" t="s">
        <v>2773</v>
      </c>
      <c r="H352" s="25" t="s">
        <v>2872</v>
      </c>
      <c r="I352" s="25" t="s">
        <v>2774</v>
      </c>
      <c r="J352" s="26" t="s">
        <v>2754</v>
      </c>
      <c r="K352" s="26" t="s">
        <v>2755</v>
      </c>
      <c r="L352" s="26">
        <v>123</v>
      </c>
      <c r="M352" s="26" t="s">
        <v>2756</v>
      </c>
    </row>
    <row r="353" spans="1:13" ht="33.6" customHeight="1" x14ac:dyDescent="0.3">
      <c r="A353" s="25" t="s">
        <v>1589</v>
      </c>
      <c r="B353" s="25" t="s">
        <v>2872</v>
      </c>
      <c r="C353" s="25" t="s">
        <v>1494</v>
      </c>
      <c r="D353" s="25" t="s">
        <v>18</v>
      </c>
      <c r="E353" s="25" t="s">
        <v>66</v>
      </c>
      <c r="F353" s="25" t="s">
        <v>2751</v>
      </c>
      <c r="G353" s="25" t="s">
        <v>2775</v>
      </c>
      <c r="H353" s="25" t="s">
        <v>2872</v>
      </c>
      <c r="I353" s="25" t="s">
        <v>2776</v>
      </c>
      <c r="J353" s="26" t="s">
        <v>2754</v>
      </c>
      <c r="K353" s="26" t="s">
        <v>2755</v>
      </c>
      <c r="L353" s="26">
        <v>123</v>
      </c>
      <c r="M353" s="26" t="s">
        <v>2756</v>
      </c>
    </row>
    <row r="354" spans="1:13" ht="33.6" customHeight="1" x14ac:dyDescent="0.3">
      <c r="A354" s="25" t="s">
        <v>1589</v>
      </c>
      <c r="B354" s="25" t="s">
        <v>2872</v>
      </c>
      <c r="C354" s="25" t="s">
        <v>1494</v>
      </c>
      <c r="D354" s="25" t="s">
        <v>18</v>
      </c>
      <c r="E354" s="25" t="s">
        <v>127</v>
      </c>
      <c r="F354" s="25" t="s">
        <v>2757</v>
      </c>
      <c r="G354" s="25" t="s">
        <v>2758</v>
      </c>
      <c r="H354" s="25" t="s">
        <v>2872</v>
      </c>
      <c r="I354" s="25" t="s">
        <v>2779</v>
      </c>
      <c r="J354" s="26" t="s">
        <v>2754</v>
      </c>
      <c r="K354" s="26" t="s">
        <v>2755</v>
      </c>
      <c r="L354" s="26">
        <v>127</v>
      </c>
      <c r="M354" s="26" t="s">
        <v>2756</v>
      </c>
    </row>
    <row r="355" spans="1:13" ht="33.6" customHeight="1" x14ac:dyDescent="0.3">
      <c r="A355" s="25" t="s">
        <v>1599</v>
      </c>
      <c r="B355" s="25" t="s">
        <v>2873</v>
      </c>
      <c r="C355" s="25" t="s">
        <v>1494</v>
      </c>
      <c r="D355" s="25" t="s">
        <v>18</v>
      </c>
      <c r="E355" s="25" t="s">
        <v>260</v>
      </c>
      <c r="F355" s="25" t="s">
        <v>2768</v>
      </c>
      <c r="G355" s="25" t="s">
        <v>2769</v>
      </c>
      <c r="H355" s="25" t="s">
        <v>2873</v>
      </c>
      <c r="I355" s="25" t="s">
        <v>2770</v>
      </c>
      <c r="J355" s="26" t="s">
        <v>2754</v>
      </c>
      <c r="K355" s="26" t="s">
        <v>2755</v>
      </c>
      <c r="L355" s="26">
        <v>75</v>
      </c>
      <c r="M355" s="26" t="s">
        <v>2756</v>
      </c>
    </row>
    <row r="356" spans="1:13" ht="33.6" customHeight="1" x14ac:dyDescent="0.3">
      <c r="A356" s="25" t="s">
        <v>1599</v>
      </c>
      <c r="B356" s="25" t="s">
        <v>2873</v>
      </c>
      <c r="C356" s="25" t="s">
        <v>1494</v>
      </c>
      <c r="D356" s="25" t="s">
        <v>18</v>
      </c>
      <c r="E356" s="25" t="s">
        <v>260</v>
      </c>
      <c r="F356" s="25" t="s">
        <v>2768</v>
      </c>
      <c r="G356" s="25" t="s">
        <v>2788</v>
      </c>
      <c r="H356" s="25" t="s">
        <v>2873</v>
      </c>
      <c r="I356" s="25" t="s">
        <v>2789</v>
      </c>
      <c r="J356" s="26" t="s">
        <v>2754</v>
      </c>
      <c r="K356" s="26" t="s">
        <v>2755</v>
      </c>
      <c r="L356" s="26">
        <v>75</v>
      </c>
      <c r="M356" s="26" t="s">
        <v>2756</v>
      </c>
    </row>
    <row r="357" spans="1:13" ht="33.6" customHeight="1" x14ac:dyDescent="0.3">
      <c r="A357" s="25" t="s">
        <v>1599</v>
      </c>
      <c r="B357" s="25" t="s">
        <v>2873</v>
      </c>
      <c r="C357" s="25" t="s">
        <v>1494</v>
      </c>
      <c r="D357" s="25" t="s">
        <v>18</v>
      </c>
      <c r="E357" s="25" t="s">
        <v>66</v>
      </c>
      <c r="F357" s="25" t="s">
        <v>2751</v>
      </c>
      <c r="G357" s="25" t="s">
        <v>2773</v>
      </c>
      <c r="H357" s="25" t="s">
        <v>2873</v>
      </c>
      <c r="I357" s="25" t="s">
        <v>2774</v>
      </c>
      <c r="J357" s="26" t="s">
        <v>2754</v>
      </c>
      <c r="K357" s="26" t="s">
        <v>2755</v>
      </c>
      <c r="L357" s="26">
        <v>123</v>
      </c>
      <c r="M357" s="26" t="s">
        <v>2756</v>
      </c>
    </row>
    <row r="358" spans="1:13" ht="33.6" customHeight="1" x14ac:dyDescent="0.3">
      <c r="A358" s="25" t="s">
        <v>1599</v>
      </c>
      <c r="B358" s="25" t="s">
        <v>2873</v>
      </c>
      <c r="C358" s="25" t="s">
        <v>1494</v>
      </c>
      <c r="D358" s="25" t="s">
        <v>18</v>
      </c>
      <c r="E358" s="25" t="s">
        <v>66</v>
      </c>
      <c r="F358" s="25" t="s">
        <v>2751</v>
      </c>
      <c r="G358" s="25" t="s">
        <v>2775</v>
      </c>
      <c r="H358" s="25" t="s">
        <v>2873</v>
      </c>
      <c r="I358" s="25" t="s">
        <v>2776</v>
      </c>
      <c r="J358" s="26" t="s">
        <v>2754</v>
      </c>
      <c r="K358" s="26" t="s">
        <v>2755</v>
      </c>
      <c r="L358" s="26">
        <v>123</v>
      </c>
      <c r="M358" s="26" t="s">
        <v>2756</v>
      </c>
    </row>
    <row r="359" spans="1:13" ht="33.6" customHeight="1" x14ac:dyDescent="0.3">
      <c r="A359" s="25" t="s">
        <v>1599</v>
      </c>
      <c r="B359" s="25" t="s">
        <v>2873</v>
      </c>
      <c r="C359" s="25" t="s">
        <v>1494</v>
      </c>
      <c r="D359" s="25" t="s">
        <v>18</v>
      </c>
      <c r="E359" s="25" t="s">
        <v>127</v>
      </c>
      <c r="F359" s="25" t="s">
        <v>2757</v>
      </c>
      <c r="G359" s="25" t="s">
        <v>2838</v>
      </c>
      <c r="H359" s="25" t="s">
        <v>2873</v>
      </c>
      <c r="I359" s="25" t="s">
        <v>2839</v>
      </c>
      <c r="J359" s="26" t="s">
        <v>2754</v>
      </c>
      <c r="K359" s="26" t="s">
        <v>2755</v>
      </c>
      <c r="L359" s="26">
        <v>127</v>
      </c>
      <c r="M359" s="26" t="s">
        <v>2756</v>
      </c>
    </row>
    <row r="360" spans="1:13" ht="33.6" customHeight="1" x14ac:dyDescent="0.3">
      <c r="A360" s="25" t="s">
        <v>1605</v>
      </c>
      <c r="B360" s="25" t="s">
        <v>2874</v>
      </c>
      <c r="C360" s="25" t="s">
        <v>1494</v>
      </c>
      <c r="D360" s="25" t="s">
        <v>18</v>
      </c>
      <c r="E360" s="25" t="s">
        <v>210</v>
      </c>
      <c r="F360" s="25" t="s">
        <v>2765</v>
      </c>
      <c r="G360" s="25" t="s">
        <v>2818</v>
      </c>
      <c r="H360" s="25" t="s">
        <v>2874</v>
      </c>
      <c r="I360" s="25" t="s">
        <v>2822</v>
      </c>
      <c r="J360" s="26" t="s">
        <v>2754</v>
      </c>
      <c r="K360" s="26" t="s">
        <v>2755</v>
      </c>
      <c r="L360" s="26">
        <v>38</v>
      </c>
      <c r="M360" s="26" t="s">
        <v>2756</v>
      </c>
    </row>
    <row r="361" spans="1:13" ht="33.6" customHeight="1" x14ac:dyDescent="0.3">
      <c r="A361" s="25" t="s">
        <v>1605</v>
      </c>
      <c r="B361" s="25" t="s">
        <v>2874</v>
      </c>
      <c r="C361" s="25" t="s">
        <v>1494</v>
      </c>
      <c r="D361" s="25" t="s">
        <v>18</v>
      </c>
      <c r="E361" s="25" t="s">
        <v>260</v>
      </c>
      <c r="F361" s="25" t="s">
        <v>2768</v>
      </c>
      <c r="G361" s="25" t="s">
        <v>2769</v>
      </c>
      <c r="H361" s="25" t="s">
        <v>2874</v>
      </c>
      <c r="I361" s="25" t="s">
        <v>2815</v>
      </c>
      <c r="J361" s="26" t="s">
        <v>2754</v>
      </c>
      <c r="K361" s="26" t="s">
        <v>2755</v>
      </c>
      <c r="L361" s="26">
        <v>75</v>
      </c>
      <c r="M361" s="26" t="s">
        <v>2756</v>
      </c>
    </row>
    <row r="362" spans="1:13" ht="33.6" customHeight="1" x14ac:dyDescent="0.3">
      <c r="A362" s="25" t="s">
        <v>1605</v>
      </c>
      <c r="B362" s="25" t="s">
        <v>2874</v>
      </c>
      <c r="C362" s="25" t="s">
        <v>1494</v>
      </c>
      <c r="D362" s="25" t="s">
        <v>18</v>
      </c>
      <c r="E362" s="25" t="s">
        <v>66</v>
      </c>
      <c r="F362" s="25" t="s">
        <v>2751</v>
      </c>
      <c r="G362" s="25" t="s">
        <v>2794</v>
      </c>
      <c r="H362" s="25" t="s">
        <v>2874</v>
      </c>
      <c r="I362" s="25" t="s">
        <v>2795</v>
      </c>
      <c r="J362" s="26" t="s">
        <v>2754</v>
      </c>
      <c r="K362" s="26" t="s">
        <v>2755</v>
      </c>
      <c r="L362" s="26">
        <v>123</v>
      </c>
      <c r="M362" s="26" t="s">
        <v>2756</v>
      </c>
    </row>
    <row r="363" spans="1:13" ht="33.6" customHeight="1" x14ac:dyDescent="0.3">
      <c r="A363" s="25" t="s">
        <v>1605</v>
      </c>
      <c r="B363" s="25" t="s">
        <v>2874</v>
      </c>
      <c r="C363" s="25" t="s">
        <v>1494</v>
      </c>
      <c r="D363" s="25" t="s">
        <v>18</v>
      </c>
      <c r="E363" s="25" t="s">
        <v>66</v>
      </c>
      <c r="F363" s="25" t="s">
        <v>2751</v>
      </c>
      <c r="G363" s="25" t="s">
        <v>2773</v>
      </c>
      <c r="H363" s="25" t="s">
        <v>2874</v>
      </c>
      <c r="I363" s="25" t="s">
        <v>2774</v>
      </c>
      <c r="J363" s="26" t="s">
        <v>2754</v>
      </c>
      <c r="K363" s="26" t="s">
        <v>2755</v>
      </c>
      <c r="L363" s="26">
        <v>123</v>
      </c>
      <c r="M363" s="26" t="s">
        <v>2756</v>
      </c>
    </row>
    <row r="364" spans="1:13" ht="33.6" customHeight="1" x14ac:dyDescent="0.3">
      <c r="A364" s="25" t="s">
        <v>1605</v>
      </c>
      <c r="B364" s="25" t="s">
        <v>2874</v>
      </c>
      <c r="C364" s="25" t="s">
        <v>1494</v>
      </c>
      <c r="D364" s="25" t="s">
        <v>18</v>
      </c>
      <c r="E364" s="25" t="s">
        <v>66</v>
      </c>
      <c r="F364" s="25" t="s">
        <v>2751</v>
      </c>
      <c r="G364" s="25" t="s">
        <v>2775</v>
      </c>
      <c r="H364" s="25" t="s">
        <v>2874</v>
      </c>
      <c r="I364" s="25" t="s">
        <v>2776</v>
      </c>
      <c r="J364" s="26" t="s">
        <v>2754</v>
      </c>
      <c r="K364" s="26" t="s">
        <v>2755</v>
      </c>
      <c r="L364" s="26">
        <v>123</v>
      </c>
      <c r="M364" s="26" t="s">
        <v>2756</v>
      </c>
    </row>
    <row r="365" spans="1:13" ht="33.6" customHeight="1" x14ac:dyDescent="0.3">
      <c r="A365" s="25" t="s">
        <v>1611</v>
      </c>
      <c r="B365" s="25" t="s">
        <v>1612</v>
      </c>
      <c r="C365" s="25" t="s">
        <v>1494</v>
      </c>
      <c r="D365" s="25" t="s">
        <v>18</v>
      </c>
      <c r="E365" s="25" t="s">
        <v>260</v>
      </c>
      <c r="F365" s="25" t="s">
        <v>2768</v>
      </c>
      <c r="G365" s="25" t="s">
        <v>2769</v>
      </c>
      <c r="H365" s="25" t="s">
        <v>1612</v>
      </c>
      <c r="I365" s="25" t="s">
        <v>2815</v>
      </c>
      <c r="J365" s="26" t="s">
        <v>2754</v>
      </c>
      <c r="K365" s="26" t="s">
        <v>2755</v>
      </c>
      <c r="L365" s="26">
        <v>75</v>
      </c>
      <c r="M365" s="26" t="s">
        <v>2756</v>
      </c>
    </row>
    <row r="366" spans="1:13" ht="33.6" customHeight="1" x14ac:dyDescent="0.3">
      <c r="A366" s="25" t="s">
        <v>1611</v>
      </c>
      <c r="B366" s="25" t="s">
        <v>1612</v>
      </c>
      <c r="C366" s="25" t="s">
        <v>1494</v>
      </c>
      <c r="D366" s="25" t="s">
        <v>18</v>
      </c>
      <c r="E366" s="25" t="s">
        <v>127</v>
      </c>
      <c r="F366" s="25" t="s">
        <v>2757</v>
      </c>
      <c r="G366" s="25" t="s">
        <v>2838</v>
      </c>
      <c r="H366" s="25" t="s">
        <v>1612</v>
      </c>
      <c r="I366" s="25" t="s">
        <v>2839</v>
      </c>
      <c r="J366" s="26" t="s">
        <v>2754</v>
      </c>
      <c r="K366" s="26" t="s">
        <v>2755</v>
      </c>
      <c r="L366" s="26">
        <v>127</v>
      </c>
      <c r="M366" s="26" t="s">
        <v>2756</v>
      </c>
    </row>
    <row r="367" spans="1:13" ht="33.6" customHeight="1" x14ac:dyDescent="0.3">
      <c r="A367" s="25" t="s">
        <v>1617</v>
      </c>
      <c r="B367" s="25" t="s">
        <v>2875</v>
      </c>
      <c r="C367" s="25" t="s">
        <v>1494</v>
      </c>
      <c r="D367" s="25" t="s">
        <v>18</v>
      </c>
      <c r="E367" s="25" t="s">
        <v>260</v>
      </c>
      <c r="F367" s="25" t="s">
        <v>2768</v>
      </c>
      <c r="G367" s="25" t="s">
        <v>2769</v>
      </c>
      <c r="H367" s="25" t="s">
        <v>2875</v>
      </c>
      <c r="I367" s="25" t="s">
        <v>2770</v>
      </c>
      <c r="J367" s="26" t="s">
        <v>2754</v>
      </c>
      <c r="K367" s="26" t="s">
        <v>2755</v>
      </c>
      <c r="L367" s="26">
        <v>75</v>
      </c>
      <c r="M367" s="26" t="s">
        <v>2756</v>
      </c>
    </row>
    <row r="368" spans="1:13" ht="33.6" customHeight="1" x14ac:dyDescent="0.3">
      <c r="A368" s="25" t="s">
        <v>1617</v>
      </c>
      <c r="B368" s="25" t="s">
        <v>2875</v>
      </c>
      <c r="C368" s="25" t="s">
        <v>1494</v>
      </c>
      <c r="D368" s="25" t="s">
        <v>18</v>
      </c>
      <c r="E368" s="25" t="s">
        <v>66</v>
      </c>
      <c r="F368" s="25" t="s">
        <v>2751</v>
      </c>
      <c r="G368" s="25" t="s">
        <v>2773</v>
      </c>
      <c r="H368" s="25" t="s">
        <v>2875</v>
      </c>
      <c r="I368" s="25" t="s">
        <v>2774</v>
      </c>
      <c r="J368" s="26" t="s">
        <v>2754</v>
      </c>
      <c r="K368" s="26" t="s">
        <v>2755</v>
      </c>
      <c r="L368" s="26">
        <v>123</v>
      </c>
      <c r="M368" s="26" t="s">
        <v>2756</v>
      </c>
    </row>
    <row r="369" spans="1:13" ht="33.6" customHeight="1" x14ac:dyDescent="0.3">
      <c r="A369" s="25" t="s">
        <v>1617</v>
      </c>
      <c r="B369" s="25" t="s">
        <v>2875</v>
      </c>
      <c r="C369" s="25" t="s">
        <v>1494</v>
      </c>
      <c r="D369" s="25" t="s">
        <v>18</v>
      </c>
      <c r="E369" s="25" t="s">
        <v>66</v>
      </c>
      <c r="F369" s="25" t="s">
        <v>2751</v>
      </c>
      <c r="G369" s="25" t="s">
        <v>2775</v>
      </c>
      <c r="H369" s="25" t="s">
        <v>2875</v>
      </c>
      <c r="I369" s="25" t="s">
        <v>2776</v>
      </c>
      <c r="J369" s="26" t="s">
        <v>2754</v>
      </c>
      <c r="K369" s="26" t="s">
        <v>2755</v>
      </c>
      <c r="L369" s="26">
        <v>123</v>
      </c>
      <c r="M369" s="26" t="s">
        <v>2756</v>
      </c>
    </row>
    <row r="370" spans="1:13" ht="33.6" customHeight="1" x14ac:dyDescent="0.3">
      <c r="A370" s="25" t="s">
        <v>1617</v>
      </c>
      <c r="B370" s="25" t="s">
        <v>2875</v>
      </c>
      <c r="C370" s="25" t="s">
        <v>1494</v>
      </c>
      <c r="D370" s="25" t="s">
        <v>18</v>
      </c>
      <c r="E370" s="25" t="s">
        <v>127</v>
      </c>
      <c r="F370" s="25" t="s">
        <v>2757</v>
      </c>
      <c r="G370" s="25" t="s">
        <v>2838</v>
      </c>
      <c r="H370" s="25" t="s">
        <v>2875</v>
      </c>
      <c r="I370" s="25" t="s">
        <v>2839</v>
      </c>
      <c r="J370" s="26" t="s">
        <v>2754</v>
      </c>
      <c r="K370" s="26" t="s">
        <v>2755</v>
      </c>
      <c r="L370" s="26">
        <v>127</v>
      </c>
      <c r="M370" s="26" t="s">
        <v>2756</v>
      </c>
    </row>
    <row r="371" spans="1:13" ht="33.6" customHeight="1" x14ac:dyDescent="0.3">
      <c r="A371" s="25" t="s">
        <v>1627</v>
      </c>
      <c r="B371" s="25" t="s">
        <v>2876</v>
      </c>
      <c r="C371" s="25" t="s">
        <v>1494</v>
      </c>
      <c r="D371" s="25" t="s">
        <v>18</v>
      </c>
      <c r="E371" s="25" t="s">
        <v>210</v>
      </c>
      <c r="F371" s="25" t="s">
        <v>2765</v>
      </c>
      <c r="G371" s="25" t="s">
        <v>2818</v>
      </c>
      <c r="H371" s="25" t="s">
        <v>2876</v>
      </c>
      <c r="I371" s="25" t="s">
        <v>2822</v>
      </c>
      <c r="J371" s="26" t="s">
        <v>2754</v>
      </c>
      <c r="K371" s="26" t="s">
        <v>2755</v>
      </c>
      <c r="L371" s="26">
        <v>38</v>
      </c>
      <c r="M371" s="26" t="s">
        <v>2756</v>
      </c>
    </row>
    <row r="372" spans="1:13" ht="33.6" customHeight="1" x14ac:dyDescent="0.3">
      <c r="A372" s="25" t="s">
        <v>1627</v>
      </c>
      <c r="B372" s="25" t="s">
        <v>2876</v>
      </c>
      <c r="C372" s="25" t="s">
        <v>1494</v>
      </c>
      <c r="D372" s="25" t="s">
        <v>18</v>
      </c>
      <c r="E372" s="25" t="s">
        <v>260</v>
      </c>
      <c r="F372" s="25" t="s">
        <v>2768</v>
      </c>
      <c r="G372" s="25" t="s">
        <v>2769</v>
      </c>
      <c r="H372" s="25" t="s">
        <v>2876</v>
      </c>
      <c r="I372" s="25" t="s">
        <v>2770</v>
      </c>
      <c r="J372" s="26" t="s">
        <v>2754</v>
      </c>
      <c r="K372" s="26" t="s">
        <v>2755</v>
      </c>
      <c r="L372" s="26">
        <v>75</v>
      </c>
      <c r="M372" s="26" t="s">
        <v>2756</v>
      </c>
    </row>
    <row r="373" spans="1:13" ht="33.6" customHeight="1" x14ac:dyDescent="0.3">
      <c r="A373" s="25" t="s">
        <v>1627</v>
      </c>
      <c r="B373" s="25" t="s">
        <v>2876</v>
      </c>
      <c r="C373" s="25" t="s">
        <v>1494</v>
      </c>
      <c r="D373" s="25" t="s">
        <v>18</v>
      </c>
      <c r="E373" s="25" t="s">
        <v>66</v>
      </c>
      <c r="F373" s="25" t="s">
        <v>2751</v>
      </c>
      <c r="G373" s="25" t="s">
        <v>2773</v>
      </c>
      <c r="H373" s="25" t="s">
        <v>2876</v>
      </c>
      <c r="I373" s="25" t="s">
        <v>2774</v>
      </c>
      <c r="J373" s="26" t="s">
        <v>2754</v>
      </c>
      <c r="K373" s="26" t="s">
        <v>2755</v>
      </c>
      <c r="L373" s="26">
        <v>123</v>
      </c>
      <c r="M373" s="26" t="s">
        <v>2756</v>
      </c>
    </row>
    <row r="374" spans="1:13" ht="33.6" customHeight="1" x14ac:dyDescent="0.3">
      <c r="A374" s="25" t="s">
        <v>1627</v>
      </c>
      <c r="B374" s="25" t="s">
        <v>2876</v>
      </c>
      <c r="C374" s="25" t="s">
        <v>1494</v>
      </c>
      <c r="D374" s="25" t="s">
        <v>18</v>
      </c>
      <c r="E374" s="25" t="s">
        <v>127</v>
      </c>
      <c r="F374" s="25" t="s">
        <v>2757</v>
      </c>
      <c r="G374" s="25" t="s">
        <v>2758</v>
      </c>
      <c r="H374" s="25" t="s">
        <v>2876</v>
      </c>
      <c r="I374" s="25" t="s">
        <v>2779</v>
      </c>
      <c r="J374" s="26" t="s">
        <v>2754</v>
      </c>
      <c r="K374" s="26" t="s">
        <v>2755</v>
      </c>
      <c r="L374" s="26">
        <v>127</v>
      </c>
      <c r="M374" s="26" t="s">
        <v>2756</v>
      </c>
    </row>
    <row r="375" spans="1:13" ht="33.6" customHeight="1" x14ac:dyDescent="0.3">
      <c r="A375" s="25" t="s">
        <v>1633</v>
      </c>
      <c r="B375" s="25" t="s">
        <v>2877</v>
      </c>
      <c r="C375" s="25" t="s">
        <v>1494</v>
      </c>
      <c r="D375" s="25" t="s">
        <v>18</v>
      </c>
      <c r="E375" s="25" t="s">
        <v>260</v>
      </c>
      <c r="F375" s="25" t="s">
        <v>2768</v>
      </c>
      <c r="G375" s="25" t="s">
        <v>2769</v>
      </c>
      <c r="H375" s="25" t="s">
        <v>2877</v>
      </c>
      <c r="I375" s="25" t="s">
        <v>2770</v>
      </c>
      <c r="J375" s="26" t="s">
        <v>2754</v>
      </c>
      <c r="K375" s="26" t="s">
        <v>2755</v>
      </c>
      <c r="L375" s="26">
        <v>75</v>
      </c>
      <c r="M375" s="26" t="s">
        <v>2756</v>
      </c>
    </row>
    <row r="376" spans="1:13" ht="33.6" customHeight="1" x14ac:dyDescent="0.3">
      <c r="A376" s="25" t="s">
        <v>1633</v>
      </c>
      <c r="B376" s="25" t="s">
        <v>2877</v>
      </c>
      <c r="C376" s="25" t="s">
        <v>1494</v>
      </c>
      <c r="D376" s="25" t="s">
        <v>18</v>
      </c>
      <c r="E376" s="25" t="s">
        <v>260</v>
      </c>
      <c r="F376" s="25" t="s">
        <v>2768</v>
      </c>
      <c r="G376" s="25" t="s">
        <v>2788</v>
      </c>
      <c r="H376" s="25" t="s">
        <v>2877</v>
      </c>
      <c r="I376" s="25" t="s">
        <v>2789</v>
      </c>
      <c r="J376" s="26" t="s">
        <v>2754</v>
      </c>
      <c r="K376" s="26" t="s">
        <v>2755</v>
      </c>
      <c r="L376" s="26">
        <v>75</v>
      </c>
      <c r="M376" s="26" t="s">
        <v>2756</v>
      </c>
    </row>
    <row r="377" spans="1:13" ht="33.6" customHeight="1" x14ac:dyDescent="0.3">
      <c r="A377" s="25" t="s">
        <v>1633</v>
      </c>
      <c r="B377" s="25" t="s">
        <v>2877</v>
      </c>
      <c r="C377" s="25" t="s">
        <v>1494</v>
      </c>
      <c r="D377" s="25" t="s">
        <v>18</v>
      </c>
      <c r="E377" s="25" t="s">
        <v>66</v>
      </c>
      <c r="F377" s="25" t="s">
        <v>2751</v>
      </c>
      <c r="G377" s="25" t="s">
        <v>2773</v>
      </c>
      <c r="H377" s="25" t="s">
        <v>2877</v>
      </c>
      <c r="I377" s="25" t="s">
        <v>2774</v>
      </c>
      <c r="J377" s="26" t="s">
        <v>2754</v>
      </c>
      <c r="K377" s="26" t="s">
        <v>2755</v>
      </c>
      <c r="L377" s="26">
        <v>123</v>
      </c>
      <c r="M377" s="26" t="s">
        <v>2756</v>
      </c>
    </row>
    <row r="378" spans="1:13" ht="33.6" customHeight="1" x14ac:dyDescent="0.3">
      <c r="A378" s="25" t="s">
        <v>1633</v>
      </c>
      <c r="B378" s="25" t="s">
        <v>2877</v>
      </c>
      <c r="C378" s="25" t="s">
        <v>1494</v>
      </c>
      <c r="D378" s="25" t="s">
        <v>18</v>
      </c>
      <c r="E378" s="25" t="s">
        <v>66</v>
      </c>
      <c r="F378" s="25" t="s">
        <v>2751</v>
      </c>
      <c r="G378" s="25" t="s">
        <v>2775</v>
      </c>
      <c r="H378" s="25" t="s">
        <v>2877</v>
      </c>
      <c r="I378" s="25" t="s">
        <v>2776</v>
      </c>
      <c r="J378" s="26" t="s">
        <v>2754</v>
      </c>
      <c r="K378" s="26" t="s">
        <v>2755</v>
      </c>
      <c r="L378" s="26">
        <v>123</v>
      </c>
      <c r="M378" s="26" t="s">
        <v>2756</v>
      </c>
    </row>
    <row r="379" spans="1:13" ht="33.6" customHeight="1" x14ac:dyDescent="0.3">
      <c r="A379" s="25" t="s">
        <v>1633</v>
      </c>
      <c r="B379" s="25" t="s">
        <v>2877</v>
      </c>
      <c r="C379" s="25" t="s">
        <v>1494</v>
      </c>
      <c r="D379" s="25" t="s">
        <v>18</v>
      </c>
      <c r="E379" s="25" t="s">
        <v>127</v>
      </c>
      <c r="F379" s="25" t="s">
        <v>2757</v>
      </c>
      <c r="G379" s="25" t="s">
        <v>2758</v>
      </c>
      <c r="H379" s="25" t="s">
        <v>2877</v>
      </c>
      <c r="I379" s="25" t="s">
        <v>2779</v>
      </c>
      <c r="J379" s="26" t="s">
        <v>2754</v>
      </c>
      <c r="K379" s="26" t="s">
        <v>2755</v>
      </c>
      <c r="L379" s="26">
        <v>127</v>
      </c>
      <c r="M379" s="26" t="s">
        <v>2756</v>
      </c>
    </row>
    <row r="380" spans="1:13" ht="33.6" customHeight="1" x14ac:dyDescent="0.3">
      <c r="A380" s="25" t="s">
        <v>1647</v>
      </c>
      <c r="B380" s="25" t="s">
        <v>2878</v>
      </c>
      <c r="C380" s="25" t="s">
        <v>1494</v>
      </c>
      <c r="D380" s="25" t="s">
        <v>18</v>
      </c>
      <c r="E380" s="25" t="s">
        <v>210</v>
      </c>
      <c r="F380" s="25" t="s">
        <v>2765</v>
      </c>
      <c r="G380" s="25" t="s">
        <v>2818</v>
      </c>
      <c r="H380" s="25" t="s">
        <v>2878</v>
      </c>
      <c r="I380" s="25" t="s">
        <v>2819</v>
      </c>
      <c r="J380" s="26" t="s">
        <v>2754</v>
      </c>
      <c r="K380" s="26" t="s">
        <v>2755</v>
      </c>
      <c r="L380" s="26">
        <v>38</v>
      </c>
      <c r="M380" s="26" t="s">
        <v>2756</v>
      </c>
    </row>
    <row r="381" spans="1:13" ht="33.6" customHeight="1" x14ac:dyDescent="0.3">
      <c r="A381" s="25" t="s">
        <v>1647</v>
      </c>
      <c r="B381" s="25" t="s">
        <v>2878</v>
      </c>
      <c r="C381" s="25" t="s">
        <v>1494</v>
      </c>
      <c r="D381" s="25" t="s">
        <v>18</v>
      </c>
      <c r="E381" s="25" t="s">
        <v>210</v>
      </c>
      <c r="F381" s="25" t="s">
        <v>2765</v>
      </c>
      <c r="G381" s="25" t="s">
        <v>2766</v>
      </c>
      <c r="H381" s="25" t="s">
        <v>2878</v>
      </c>
      <c r="I381" s="25" t="s">
        <v>2767</v>
      </c>
      <c r="J381" s="26" t="s">
        <v>2754</v>
      </c>
      <c r="K381" s="26" t="s">
        <v>2755</v>
      </c>
      <c r="L381" s="26">
        <v>38</v>
      </c>
      <c r="M381" s="26" t="s">
        <v>2756</v>
      </c>
    </row>
    <row r="382" spans="1:13" ht="33.6" customHeight="1" x14ac:dyDescent="0.3">
      <c r="A382" s="25" t="s">
        <v>1647</v>
      </c>
      <c r="B382" s="25" t="s">
        <v>2878</v>
      </c>
      <c r="C382" s="25" t="s">
        <v>1494</v>
      </c>
      <c r="D382" s="25" t="s">
        <v>18</v>
      </c>
      <c r="E382" s="25" t="s">
        <v>51</v>
      </c>
      <c r="F382" s="25" t="s">
        <v>2809</v>
      </c>
      <c r="G382" s="25" t="s">
        <v>2879</v>
      </c>
      <c r="H382" s="25" t="s">
        <v>2878</v>
      </c>
      <c r="I382" s="25" t="s">
        <v>2880</v>
      </c>
      <c r="J382" s="26" t="s">
        <v>2754</v>
      </c>
      <c r="K382" s="26" t="s">
        <v>2755</v>
      </c>
      <c r="L382" s="26">
        <v>21</v>
      </c>
      <c r="M382" s="26" t="s">
        <v>2756</v>
      </c>
    </row>
    <row r="383" spans="1:13" ht="33.6" customHeight="1" x14ac:dyDescent="0.3">
      <c r="A383" s="25" t="s">
        <v>1647</v>
      </c>
      <c r="B383" s="25" t="s">
        <v>2878</v>
      </c>
      <c r="C383" s="25" t="s">
        <v>1494</v>
      </c>
      <c r="D383" s="25" t="s">
        <v>18</v>
      </c>
      <c r="E383" s="25" t="s">
        <v>66</v>
      </c>
      <c r="F383" s="25" t="s">
        <v>2751</v>
      </c>
      <c r="G383" s="25" t="s">
        <v>2784</v>
      </c>
      <c r="H383" s="25" t="s">
        <v>2878</v>
      </c>
      <c r="I383" s="25" t="s">
        <v>2785</v>
      </c>
      <c r="J383" s="26" t="s">
        <v>2754</v>
      </c>
      <c r="K383" s="26" t="s">
        <v>2755</v>
      </c>
      <c r="L383" s="26">
        <v>123</v>
      </c>
      <c r="M383" s="26" t="s">
        <v>2756</v>
      </c>
    </row>
    <row r="384" spans="1:13" ht="33.6" customHeight="1" x14ac:dyDescent="0.3">
      <c r="A384" s="25" t="s">
        <v>1647</v>
      </c>
      <c r="B384" s="25" t="s">
        <v>2878</v>
      </c>
      <c r="C384" s="25" t="s">
        <v>1494</v>
      </c>
      <c r="D384" s="25" t="s">
        <v>18</v>
      </c>
      <c r="E384" s="25" t="s">
        <v>66</v>
      </c>
      <c r="F384" s="25" t="s">
        <v>2751</v>
      </c>
      <c r="G384" s="25" t="s">
        <v>2777</v>
      </c>
      <c r="H384" s="25" t="s">
        <v>2878</v>
      </c>
      <c r="I384" s="25" t="s">
        <v>2778</v>
      </c>
      <c r="J384" s="26" t="s">
        <v>2754</v>
      </c>
      <c r="K384" s="26" t="s">
        <v>2755</v>
      </c>
      <c r="L384" s="26">
        <v>123</v>
      </c>
      <c r="M384" s="26" t="s">
        <v>2756</v>
      </c>
    </row>
    <row r="385" spans="1:13" ht="33.6" customHeight="1" x14ac:dyDescent="0.3">
      <c r="A385" s="25" t="s">
        <v>1657</v>
      </c>
      <c r="B385" s="25" t="s">
        <v>2881</v>
      </c>
      <c r="C385" s="25" t="s">
        <v>1494</v>
      </c>
      <c r="D385" s="25" t="s">
        <v>18</v>
      </c>
      <c r="E385" s="25" t="s">
        <v>66</v>
      </c>
      <c r="F385" s="25" t="s">
        <v>2751</v>
      </c>
      <c r="G385" s="25" t="s">
        <v>2773</v>
      </c>
      <c r="H385" s="25" t="s">
        <v>2881</v>
      </c>
      <c r="I385" s="25" t="s">
        <v>2774</v>
      </c>
      <c r="J385" s="26" t="s">
        <v>2754</v>
      </c>
      <c r="K385" s="26" t="s">
        <v>2755</v>
      </c>
      <c r="L385" s="26">
        <v>123</v>
      </c>
      <c r="M385" s="26" t="s">
        <v>2756</v>
      </c>
    </row>
    <row r="386" spans="1:13" ht="33.6" customHeight="1" x14ac:dyDescent="0.3">
      <c r="A386" s="25" t="s">
        <v>1657</v>
      </c>
      <c r="B386" s="25" t="s">
        <v>2881</v>
      </c>
      <c r="C386" s="25" t="s">
        <v>1494</v>
      </c>
      <c r="D386" s="25" t="s">
        <v>18</v>
      </c>
      <c r="E386" s="25" t="s">
        <v>66</v>
      </c>
      <c r="F386" s="25" t="s">
        <v>2751</v>
      </c>
      <c r="G386" s="25" t="s">
        <v>2775</v>
      </c>
      <c r="H386" s="25" t="s">
        <v>2881</v>
      </c>
      <c r="I386" s="25" t="s">
        <v>2776</v>
      </c>
      <c r="J386" s="26" t="s">
        <v>2754</v>
      </c>
      <c r="K386" s="26" t="s">
        <v>2755</v>
      </c>
      <c r="L386" s="26">
        <v>123</v>
      </c>
      <c r="M386" s="26" t="s">
        <v>2756</v>
      </c>
    </row>
    <row r="387" spans="1:13" ht="33.6" customHeight="1" x14ac:dyDescent="0.3">
      <c r="A387" s="25" t="s">
        <v>1657</v>
      </c>
      <c r="B387" s="25" t="s">
        <v>2881</v>
      </c>
      <c r="C387" s="25" t="s">
        <v>1494</v>
      </c>
      <c r="D387" s="25" t="s">
        <v>18</v>
      </c>
      <c r="E387" s="25" t="s">
        <v>127</v>
      </c>
      <c r="F387" s="25" t="s">
        <v>2757</v>
      </c>
      <c r="G387" s="25" t="s">
        <v>2758</v>
      </c>
      <c r="H387" s="25" t="s">
        <v>2881</v>
      </c>
      <c r="I387" s="25" t="s">
        <v>2779</v>
      </c>
      <c r="J387" s="26" t="s">
        <v>2754</v>
      </c>
      <c r="K387" s="26" t="s">
        <v>2755</v>
      </c>
      <c r="L387" s="26">
        <v>127</v>
      </c>
      <c r="M387" s="26" t="s">
        <v>2756</v>
      </c>
    </row>
    <row r="388" spans="1:13" ht="33.6" customHeight="1" x14ac:dyDescent="0.3">
      <c r="A388" s="25" t="s">
        <v>1663</v>
      </c>
      <c r="B388" s="25" t="s">
        <v>1664</v>
      </c>
      <c r="C388" s="25" t="s">
        <v>1494</v>
      </c>
      <c r="D388" s="25" t="s">
        <v>18</v>
      </c>
      <c r="E388" s="25" t="s">
        <v>66</v>
      </c>
      <c r="F388" s="25" t="s">
        <v>2751</v>
      </c>
      <c r="G388" s="25" t="s">
        <v>2775</v>
      </c>
      <c r="H388" s="25" t="s">
        <v>1664</v>
      </c>
      <c r="I388" s="25" t="s">
        <v>2806</v>
      </c>
      <c r="J388" s="26" t="s">
        <v>2754</v>
      </c>
      <c r="K388" s="26" t="s">
        <v>2755</v>
      </c>
      <c r="L388" s="26">
        <v>123</v>
      </c>
      <c r="M388" s="26" t="s">
        <v>2756</v>
      </c>
    </row>
    <row r="389" spans="1:13" ht="33.6" customHeight="1" x14ac:dyDescent="0.3">
      <c r="A389" s="25" t="s">
        <v>1663</v>
      </c>
      <c r="B389" s="25" t="s">
        <v>1664</v>
      </c>
      <c r="C389" s="25" t="s">
        <v>1494</v>
      </c>
      <c r="D389" s="25" t="s">
        <v>18</v>
      </c>
      <c r="E389" s="25" t="s">
        <v>127</v>
      </c>
      <c r="F389" s="25" t="s">
        <v>2757</v>
      </c>
      <c r="G389" s="25" t="s">
        <v>2758</v>
      </c>
      <c r="H389" s="25" t="s">
        <v>1664</v>
      </c>
      <c r="I389" s="25" t="s">
        <v>2779</v>
      </c>
      <c r="J389" s="26" t="s">
        <v>2754</v>
      </c>
      <c r="K389" s="26" t="s">
        <v>2755</v>
      </c>
      <c r="L389" s="26">
        <v>127</v>
      </c>
      <c r="M389" s="26" t="s">
        <v>2756</v>
      </c>
    </row>
    <row r="390" spans="1:13" ht="33.6" customHeight="1" x14ac:dyDescent="0.3">
      <c r="A390" s="25" t="s">
        <v>1669</v>
      </c>
      <c r="B390" s="25" t="s">
        <v>2882</v>
      </c>
      <c r="C390" s="25" t="s">
        <v>1494</v>
      </c>
      <c r="D390" s="25" t="s">
        <v>18</v>
      </c>
      <c r="E390" s="25" t="s">
        <v>210</v>
      </c>
      <c r="F390" s="25" t="s">
        <v>2765</v>
      </c>
      <c r="G390" s="25" t="s">
        <v>2818</v>
      </c>
      <c r="H390" s="25" t="s">
        <v>2882</v>
      </c>
      <c r="I390" s="25" t="s">
        <v>2822</v>
      </c>
      <c r="J390" s="26" t="s">
        <v>2754</v>
      </c>
      <c r="K390" s="26" t="s">
        <v>2755</v>
      </c>
      <c r="L390" s="26">
        <v>38</v>
      </c>
      <c r="M390" s="26" t="s">
        <v>2756</v>
      </c>
    </row>
    <row r="391" spans="1:13" ht="33.6" customHeight="1" x14ac:dyDescent="0.3">
      <c r="A391" s="25" t="s">
        <v>1669</v>
      </c>
      <c r="B391" s="25" t="s">
        <v>2882</v>
      </c>
      <c r="C391" s="25" t="s">
        <v>1494</v>
      </c>
      <c r="D391" s="25" t="s">
        <v>18</v>
      </c>
      <c r="E391" s="25" t="s">
        <v>66</v>
      </c>
      <c r="F391" s="25" t="s">
        <v>2751</v>
      </c>
      <c r="G391" s="25" t="s">
        <v>2794</v>
      </c>
      <c r="H391" s="25" t="s">
        <v>2882</v>
      </c>
      <c r="I391" s="25" t="s">
        <v>2795</v>
      </c>
      <c r="J391" s="26" t="s">
        <v>2754</v>
      </c>
      <c r="K391" s="26" t="s">
        <v>2755</v>
      </c>
      <c r="L391" s="26">
        <v>123</v>
      </c>
      <c r="M391" s="26" t="s">
        <v>2756</v>
      </c>
    </row>
    <row r="392" spans="1:13" ht="33.6" customHeight="1" x14ac:dyDescent="0.3">
      <c r="A392" s="25" t="s">
        <v>1669</v>
      </c>
      <c r="B392" s="25" t="s">
        <v>2882</v>
      </c>
      <c r="C392" s="25" t="s">
        <v>1494</v>
      </c>
      <c r="D392" s="25" t="s">
        <v>18</v>
      </c>
      <c r="E392" s="25" t="s">
        <v>66</v>
      </c>
      <c r="F392" s="25" t="s">
        <v>2751</v>
      </c>
      <c r="G392" s="25" t="s">
        <v>2773</v>
      </c>
      <c r="H392" s="25" t="s">
        <v>2882</v>
      </c>
      <c r="I392" s="25" t="s">
        <v>2774</v>
      </c>
      <c r="J392" s="26" t="s">
        <v>2754</v>
      </c>
      <c r="K392" s="26" t="s">
        <v>2755</v>
      </c>
      <c r="L392" s="26">
        <v>123</v>
      </c>
      <c r="M392" s="26" t="s">
        <v>2756</v>
      </c>
    </row>
    <row r="393" spans="1:13" ht="33.6" customHeight="1" x14ac:dyDescent="0.3">
      <c r="A393" s="25" t="s">
        <v>1669</v>
      </c>
      <c r="B393" s="25" t="s">
        <v>2882</v>
      </c>
      <c r="C393" s="25" t="s">
        <v>1494</v>
      </c>
      <c r="D393" s="25" t="s">
        <v>18</v>
      </c>
      <c r="E393" s="25" t="s">
        <v>66</v>
      </c>
      <c r="F393" s="25" t="s">
        <v>2751</v>
      </c>
      <c r="G393" s="25" t="s">
        <v>2775</v>
      </c>
      <c r="H393" s="25" t="s">
        <v>2882</v>
      </c>
      <c r="I393" s="25" t="s">
        <v>2776</v>
      </c>
      <c r="J393" s="26" t="s">
        <v>2754</v>
      </c>
      <c r="K393" s="26" t="s">
        <v>2755</v>
      </c>
      <c r="L393" s="26">
        <v>123</v>
      </c>
      <c r="M393" s="26" t="s">
        <v>2756</v>
      </c>
    </row>
    <row r="394" spans="1:13" ht="33.6" customHeight="1" x14ac:dyDescent="0.3">
      <c r="A394" s="25" t="s">
        <v>1669</v>
      </c>
      <c r="B394" s="25" t="s">
        <v>2882</v>
      </c>
      <c r="C394" s="25" t="s">
        <v>1494</v>
      </c>
      <c r="D394" s="25" t="s">
        <v>18</v>
      </c>
      <c r="E394" s="25" t="s">
        <v>127</v>
      </c>
      <c r="F394" s="25" t="s">
        <v>2757</v>
      </c>
      <c r="G394" s="25" t="s">
        <v>2758</v>
      </c>
      <c r="H394" s="25" t="s">
        <v>2882</v>
      </c>
      <c r="I394" s="25" t="s">
        <v>2779</v>
      </c>
      <c r="J394" s="26" t="s">
        <v>2754</v>
      </c>
      <c r="K394" s="26" t="s">
        <v>2755</v>
      </c>
      <c r="L394" s="26">
        <v>127</v>
      </c>
      <c r="M394" s="26" t="s">
        <v>2756</v>
      </c>
    </row>
    <row r="395" spans="1:13" ht="33.6" customHeight="1" x14ac:dyDescent="0.3">
      <c r="A395" s="25" t="s">
        <v>1675</v>
      </c>
      <c r="B395" s="25" t="s">
        <v>2883</v>
      </c>
      <c r="C395" s="25" t="s">
        <v>1494</v>
      </c>
      <c r="D395" s="25" t="s">
        <v>18</v>
      </c>
      <c r="E395" s="25" t="s">
        <v>66</v>
      </c>
      <c r="F395" s="25" t="s">
        <v>2751</v>
      </c>
      <c r="G395" s="25" t="s">
        <v>2794</v>
      </c>
      <c r="H395" s="25" t="s">
        <v>2883</v>
      </c>
      <c r="I395" s="25" t="s">
        <v>2795</v>
      </c>
      <c r="J395" s="26" t="s">
        <v>2754</v>
      </c>
      <c r="K395" s="26" t="s">
        <v>2755</v>
      </c>
      <c r="L395" s="26">
        <v>123</v>
      </c>
      <c r="M395" s="26" t="s">
        <v>2756</v>
      </c>
    </row>
    <row r="396" spans="1:13" ht="33.6" customHeight="1" x14ac:dyDescent="0.3">
      <c r="A396" s="25" t="s">
        <v>1675</v>
      </c>
      <c r="B396" s="25" t="s">
        <v>2883</v>
      </c>
      <c r="C396" s="25" t="s">
        <v>1494</v>
      </c>
      <c r="D396" s="25" t="s">
        <v>18</v>
      </c>
      <c r="E396" s="25" t="s">
        <v>66</v>
      </c>
      <c r="F396" s="25" t="s">
        <v>2751</v>
      </c>
      <c r="G396" s="25" t="s">
        <v>2775</v>
      </c>
      <c r="H396" s="25" t="s">
        <v>2883</v>
      </c>
      <c r="I396" s="25" t="s">
        <v>2776</v>
      </c>
      <c r="J396" s="26" t="s">
        <v>2754</v>
      </c>
      <c r="K396" s="26" t="s">
        <v>2755</v>
      </c>
      <c r="L396" s="26">
        <v>123</v>
      </c>
      <c r="M396" s="26" t="s">
        <v>2756</v>
      </c>
    </row>
    <row r="397" spans="1:13" ht="33.6" customHeight="1" x14ac:dyDescent="0.3">
      <c r="A397" s="25" t="s">
        <v>1675</v>
      </c>
      <c r="B397" s="25" t="s">
        <v>2883</v>
      </c>
      <c r="C397" s="25" t="s">
        <v>1494</v>
      </c>
      <c r="D397" s="25" t="s">
        <v>18</v>
      </c>
      <c r="E397" s="25" t="s">
        <v>66</v>
      </c>
      <c r="F397" s="25" t="s">
        <v>2751</v>
      </c>
      <c r="G397" s="25" t="s">
        <v>2777</v>
      </c>
      <c r="H397" s="25" t="s">
        <v>2883</v>
      </c>
      <c r="I397" s="25" t="s">
        <v>2778</v>
      </c>
      <c r="J397" s="26" t="s">
        <v>2754</v>
      </c>
      <c r="K397" s="26" t="s">
        <v>2755</v>
      </c>
      <c r="L397" s="26">
        <v>123</v>
      </c>
      <c r="M397" s="26" t="s">
        <v>2756</v>
      </c>
    </row>
    <row r="398" spans="1:13" ht="33.6" customHeight="1" x14ac:dyDescent="0.3">
      <c r="A398" s="25" t="s">
        <v>1675</v>
      </c>
      <c r="B398" s="25" t="s">
        <v>2883</v>
      </c>
      <c r="C398" s="25" t="s">
        <v>1494</v>
      </c>
      <c r="D398" s="25" t="s">
        <v>18</v>
      </c>
      <c r="E398" s="25" t="s">
        <v>127</v>
      </c>
      <c r="F398" s="25" t="s">
        <v>2757</v>
      </c>
      <c r="G398" s="25" t="s">
        <v>2758</v>
      </c>
      <c r="H398" s="25" t="s">
        <v>2883</v>
      </c>
      <c r="I398" s="25" t="s">
        <v>2759</v>
      </c>
      <c r="J398" s="26" t="s">
        <v>2754</v>
      </c>
      <c r="K398" s="26" t="s">
        <v>2755</v>
      </c>
      <c r="L398" s="26">
        <v>127</v>
      </c>
      <c r="M398" s="26" t="s">
        <v>2756</v>
      </c>
    </row>
    <row r="399" spans="1:13" ht="33.6" customHeight="1" x14ac:dyDescent="0.3">
      <c r="A399" s="25" t="s">
        <v>1679</v>
      </c>
      <c r="B399" s="25" t="s">
        <v>2884</v>
      </c>
      <c r="C399" s="25" t="s">
        <v>1494</v>
      </c>
      <c r="D399" s="25" t="s">
        <v>18</v>
      </c>
      <c r="E399" s="25" t="s">
        <v>260</v>
      </c>
      <c r="F399" s="25" t="s">
        <v>2768</v>
      </c>
      <c r="G399" s="25" t="s">
        <v>2769</v>
      </c>
      <c r="H399" s="25" t="s">
        <v>2884</v>
      </c>
      <c r="I399" s="25" t="s">
        <v>2815</v>
      </c>
      <c r="J399" s="26" t="s">
        <v>2754</v>
      </c>
      <c r="K399" s="26" t="s">
        <v>2755</v>
      </c>
      <c r="L399" s="26">
        <v>75</v>
      </c>
      <c r="M399" s="26" t="s">
        <v>2756</v>
      </c>
    </row>
    <row r="400" spans="1:13" ht="33.6" customHeight="1" x14ac:dyDescent="0.3">
      <c r="A400" s="25" t="s">
        <v>1679</v>
      </c>
      <c r="B400" s="25" t="s">
        <v>2884</v>
      </c>
      <c r="C400" s="25" t="s">
        <v>1494</v>
      </c>
      <c r="D400" s="25" t="s">
        <v>18</v>
      </c>
      <c r="E400" s="25" t="s">
        <v>66</v>
      </c>
      <c r="F400" s="25" t="s">
        <v>2751</v>
      </c>
      <c r="G400" s="25" t="s">
        <v>2775</v>
      </c>
      <c r="H400" s="25" t="s">
        <v>2884</v>
      </c>
      <c r="I400" s="25" t="s">
        <v>2806</v>
      </c>
      <c r="J400" s="26" t="s">
        <v>2754</v>
      </c>
      <c r="K400" s="26" t="s">
        <v>2755</v>
      </c>
      <c r="L400" s="26">
        <v>123</v>
      </c>
      <c r="M400" s="26" t="s">
        <v>2756</v>
      </c>
    </row>
    <row r="401" spans="1:13" ht="33.6" customHeight="1" x14ac:dyDescent="0.3">
      <c r="A401" s="25" t="s">
        <v>1689</v>
      </c>
      <c r="B401" s="25" t="s">
        <v>1690</v>
      </c>
      <c r="C401" s="25" t="s">
        <v>1494</v>
      </c>
      <c r="D401" s="25" t="s">
        <v>18</v>
      </c>
      <c r="E401" s="25" t="s">
        <v>260</v>
      </c>
      <c r="F401" s="25" t="s">
        <v>2768</v>
      </c>
      <c r="G401" s="25" t="s">
        <v>2769</v>
      </c>
      <c r="H401" s="25" t="s">
        <v>1690</v>
      </c>
      <c r="I401" s="25" t="s">
        <v>2815</v>
      </c>
      <c r="J401" s="26" t="s">
        <v>2754</v>
      </c>
      <c r="K401" s="26" t="s">
        <v>2755</v>
      </c>
      <c r="L401" s="26">
        <v>75</v>
      </c>
      <c r="M401" s="26" t="s">
        <v>2756</v>
      </c>
    </row>
    <row r="402" spans="1:13" ht="33.6" customHeight="1" x14ac:dyDescent="0.3">
      <c r="A402" s="25" t="s">
        <v>1689</v>
      </c>
      <c r="B402" s="25" t="s">
        <v>1690</v>
      </c>
      <c r="C402" s="25" t="s">
        <v>1494</v>
      </c>
      <c r="D402" s="25" t="s">
        <v>18</v>
      </c>
      <c r="E402" s="25" t="s">
        <v>66</v>
      </c>
      <c r="F402" s="25" t="s">
        <v>2751</v>
      </c>
      <c r="G402" s="25" t="s">
        <v>2773</v>
      </c>
      <c r="H402" s="25" t="s">
        <v>1690</v>
      </c>
      <c r="I402" s="25" t="s">
        <v>2774</v>
      </c>
      <c r="J402" s="26" t="s">
        <v>2754</v>
      </c>
      <c r="K402" s="26" t="s">
        <v>2755</v>
      </c>
      <c r="L402" s="26">
        <v>123</v>
      </c>
      <c r="M402" s="26" t="s">
        <v>2756</v>
      </c>
    </row>
    <row r="403" spans="1:13" ht="33.6" customHeight="1" x14ac:dyDescent="0.3">
      <c r="A403" s="25" t="s">
        <v>1689</v>
      </c>
      <c r="B403" s="25" t="s">
        <v>1690</v>
      </c>
      <c r="C403" s="25" t="s">
        <v>1494</v>
      </c>
      <c r="D403" s="25" t="s">
        <v>18</v>
      </c>
      <c r="E403" s="25" t="s">
        <v>66</v>
      </c>
      <c r="F403" s="25" t="s">
        <v>2751</v>
      </c>
      <c r="G403" s="25" t="s">
        <v>2775</v>
      </c>
      <c r="H403" s="25" t="s">
        <v>1690</v>
      </c>
      <c r="I403" s="25" t="s">
        <v>2776</v>
      </c>
      <c r="J403" s="26" t="s">
        <v>2754</v>
      </c>
      <c r="K403" s="26" t="s">
        <v>2755</v>
      </c>
      <c r="L403" s="26">
        <v>123</v>
      </c>
      <c r="M403" s="26" t="s">
        <v>2756</v>
      </c>
    </row>
    <row r="404" spans="1:13" ht="33.6" customHeight="1" x14ac:dyDescent="0.3">
      <c r="A404" s="25" t="s">
        <v>1689</v>
      </c>
      <c r="B404" s="25" t="s">
        <v>1690</v>
      </c>
      <c r="C404" s="25" t="s">
        <v>1494</v>
      </c>
      <c r="D404" s="25" t="s">
        <v>18</v>
      </c>
      <c r="E404" s="25" t="s">
        <v>127</v>
      </c>
      <c r="F404" s="25" t="s">
        <v>2757</v>
      </c>
      <c r="G404" s="25" t="s">
        <v>2758</v>
      </c>
      <c r="H404" s="25" t="s">
        <v>1690</v>
      </c>
      <c r="I404" s="25" t="s">
        <v>2759</v>
      </c>
      <c r="J404" s="26" t="s">
        <v>2754</v>
      </c>
      <c r="K404" s="26" t="s">
        <v>2755</v>
      </c>
      <c r="L404" s="26">
        <v>127</v>
      </c>
      <c r="M404" s="26" t="s">
        <v>2756</v>
      </c>
    </row>
    <row r="405" spans="1:13" ht="33.6" customHeight="1" x14ac:dyDescent="0.3">
      <c r="A405" s="25" t="s">
        <v>1689</v>
      </c>
      <c r="B405" s="25" t="s">
        <v>1690</v>
      </c>
      <c r="C405" s="25" t="s">
        <v>1494</v>
      </c>
      <c r="D405" s="25" t="s">
        <v>18</v>
      </c>
      <c r="E405" s="25" t="s">
        <v>885</v>
      </c>
      <c r="F405" s="25" t="s">
        <v>2762</v>
      </c>
      <c r="G405" s="25" t="s">
        <v>2763</v>
      </c>
      <c r="H405" s="25" t="s">
        <v>1690</v>
      </c>
      <c r="I405" s="25" t="s">
        <v>2764</v>
      </c>
      <c r="J405" s="26" t="s">
        <v>2754</v>
      </c>
      <c r="K405" s="26" t="s">
        <v>2755</v>
      </c>
      <c r="L405" s="26">
        <v>14</v>
      </c>
      <c r="M405" s="26" t="s">
        <v>2756</v>
      </c>
    </row>
    <row r="406" spans="1:13" ht="33.6" customHeight="1" x14ac:dyDescent="0.3">
      <c r="A406" s="25" t="s">
        <v>1689</v>
      </c>
      <c r="B406" s="25" t="s">
        <v>1690</v>
      </c>
      <c r="C406" s="25" t="s">
        <v>1494</v>
      </c>
      <c r="D406" s="25" t="s">
        <v>18</v>
      </c>
      <c r="E406" s="25" t="s">
        <v>885</v>
      </c>
      <c r="F406" s="25" t="s">
        <v>2762</v>
      </c>
      <c r="G406" s="25" t="s">
        <v>2885</v>
      </c>
      <c r="H406" s="25" t="s">
        <v>1690</v>
      </c>
      <c r="I406" s="25" t="s">
        <v>2886</v>
      </c>
      <c r="J406" s="26" t="s">
        <v>2754</v>
      </c>
      <c r="K406" s="26" t="s">
        <v>2755</v>
      </c>
      <c r="L406" s="26">
        <v>14</v>
      </c>
      <c r="M406" s="26" t="s">
        <v>2756</v>
      </c>
    </row>
    <row r="407" spans="1:13" ht="33.6" customHeight="1" x14ac:dyDescent="0.3">
      <c r="A407" s="25" t="s">
        <v>1695</v>
      </c>
      <c r="B407" s="25" t="s">
        <v>1696</v>
      </c>
      <c r="C407" s="25" t="s">
        <v>1494</v>
      </c>
      <c r="D407" s="25" t="s">
        <v>18</v>
      </c>
      <c r="E407" s="25" t="s">
        <v>260</v>
      </c>
      <c r="F407" s="25" t="s">
        <v>2768</v>
      </c>
      <c r="G407" s="25" t="s">
        <v>2769</v>
      </c>
      <c r="H407" s="25" t="s">
        <v>1696</v>
      </c>
      <c r="I407" s="25" t="s">
        <v>2815</v>
      </c>
      <c r="J407" s="26" t="s">
        <v>2754</v>
      </c>
      <c r="K407" s="26" t="s">
        <v>2755</v>
      </c>
      <c r="L407" s="26">
        <v>75</v>
      </c>
      <c r="M407" s="26" t="s">
        <v>2756</v>
      </c>
    </row>
    <row r="408" spans="1:13" ht="33.6" customHeight="1" x14ac:dyDescent="0.3">
      <c r="A408" s="25" t="s">
        <v>1695</v>
      </c>
      <c r="B408" s="25" t="s">
        <v>1696</v>
      </c>
      <c r="C408" s="25" t="s">
        <v>1494</v>
      </c>
      <c r="D408" s="25" t="s">
        <v>18</v>
      </c>
      <c r="E408" s="25" t="s">
        <v>66</v>
      </c>
      <c r="F408" s="25" t="s">
        <v>2751</v>
      </c>
      <c r="G408" s="25" t="s">
        <v>2773</v>
      </c>
      <c r="H408" s="25" t="s">
        <v>1696</v>
      </c>
      <c r="I408" s="25" t="s">
        <v>2774</v>
      </c>
      <c r="J408" s="26" t="s">
        <v>2754</v>
      </c>
      <c r="K408" s="26" t="s">
        <v>2755</v>
      </c>
      <c r="L408" s="26">
        <v>123</v>
      </c>
      <c r="M408" s="26" t="s">
        <v>2756</v>
      </c>
    </row>
    <row r="409" spans="1:13" ht="33.6" customHeight="1" x14ac:dyDescent="0.3">
      <c r="A409" s="25" t="s">
        <v>1695</v>
      </c>
      <c r="B409" s="25" t="s">
        <v>1696</v>
      </c>
      <c r="C409" s="25" t="s">
        <v>1494</v>
      </c>
      <c r="D409" s="25" t="s">
        <v>18</v>
      </c>
      <c r="E409" s="25" t="s">
        <v>66</v>
      </c>
      <c r="F409" s="25" t="s">
        <v>2751</v>
      </c>
      <c r="G409" s="25" t="s">
        <v>2784</v>
      </c>
      <c r="H409" s="25" t="s">
        <v>1696</v>
      </c>
      <c r="I409" s="25" t="s">
        <v>2785</v>
      </c>
      <c r="J409" s="26" t="s">
        <v>2754</v>
      </c>
      <c r="K409" s="26" t="s">
        <v>2755</v>
      </c>
      <c r="L409" s="26">
        <v>123</v>
      </c>
      <c r="M409" s="26" t="s">
        <v>2756</v>
      </c>
    </row>
    <row r="410" spans="1:13" ht="33.6" customHeight="1" x14ac:dyDescent="0.3">
      <c r="A410" s="25" t="s">
        <v>1695</v>
      </c>
      <c r="B410" s="25" t="s">
        <v>1696</v>
      </c>
      <c r="C410" s="25" t="s">
        <v>1494</v>
      </c>
      <c r="D410" s="25" t="s">
        <v>18</v>
      </c>
      <c r="E410" s="25" t="s">
        <v>66</v>
      </c>
      <c r="F410" s="25" t="s">
        <v>2751</v>
      </c>
      <c r="G410" s="25" t="s">
        <v>2775</v>
      </c>
      <c r="H410" s="25" t="s">
        <v>1696</v>
      </c>
      <c r="I410" s="25" t="s">
        <v>2776</v>
      </c>
      <c r="J410" s="26" t="s">
        <v>2754</v>
      </c>
      <c r="K410" s="26" t="s">
        <v>2755</v>
      </c>
      <c r="L410" s="26">
        <v>123</v>
      </c>
      <c r="M410" s="26" t="s">
        <v>2756</v>
      </c>
    </row>
    <row r="411" spans="1:13" ht="33.6" customHeight="1" x14ac:dyDescent="0.3">
      <c r="A411" s="25" t="s">
        <v>1701</v>
      </c>
      <c r="B411" s="25" t="s">
        <v>1702</v>
      </c>
      <c r="C411" s="25" t="s">
        <v>1494</v>
      </c>
      <c r="D411" s="25" t="s">
        <v>18</v>
      </c>
      <c r="E411" s="25" t="s">
        <v>260</v>
      </c>
      <c r="F411" s="25" t="s">
        <v>2768</v>
      </c>
      <c r="G411" s="25" t="s">
        <v>2769</v>
      </c>
      <c r="H411" s="25" t="s">
        <v>1702</v>
      </c>
      <c r="I411" s="25" t="s">
        <v>2770</v>
      </c>
      <c r="J411" s="26" t="s">
        <v>2754</v>
      </c>
      <c r="K411" s="26" t="s">
        <v>2755</v>
      </c>
      <c r="L411" s="26">
        <v>75</v>
      </c>
      <c r="M411" s="26" t="s">
        <v>2756</v>
      </c>
    </row>
    <row r="412" spans="1:13" ht="33.6" customHeight="1" x14ac:dyDescent="0.3">
      <c r="A412" s="25" t="s">
        <v>1701</v>
      </c>
      <c r="B412" s="25" t="s">
        <v>1702</v>
      </c>
      <c r="C412" s="25" t="s">
        <v>1494</v>
      </c>
      <c r="D412" s="25" t="s">
        <v>18</v>
      </c>
      <c r="E412" s="25" t="s">
        <v>66</v>
      </c>
      <c r="F412" s="25" t="s">
        <v>2751</v>
      </c>
      <c r="G412" s="25" t="s">
        <v>2794</v>
      </c>
      <c r="H412" s="25" t="s">
        <v>1702</v>
      </c>
      <c r="I412" s="25" t="s">
        <v>2795</v>
      </c>
      <c r="J412" s="26" t="s">
        <v>2754</v>
      </c>
      <c r="K412" s="26" t="s">
        <v>2755</v>
      </c>
      <c r="L412" s="26">
        <v>123</v>
      </c>
      <c r="M412" s="26" t="s">
        <v>2756</v>
      </c>
    </row>
    <row r="413" spans="1:13" ht="33.6" customHeight="1" x14ac:dyDescent="0.3">
      <c r="A413" s="25" t="s">
        <v>1701</v>
      </c>
      <c r="B413" s="25" t="s">
        <v>1702</v>
      </c>
      <c r="C413" s="25" t="s">
        <v>1494</v>
      </c>
      <c r="D413" s="25" t="s">
        <v>18</v>
      </c>
      <c r="E413" s="25" t="s">
        <v>66</v>
      </c>
      <c r="F413" s="25" t="s">
        <v>2751</v>
      </c>
      <c r="G413" s="25" t="s">
        <v>2773</v>
      </c>
      <c r="H413" s="25" t="s">
        <v>1702</v>
      </c>
      <c r="I413" s="25" t="s">
        <v>2774</v>
      </c>
      <c r="J413" s="26" t="s">
        <v>2754</v>
      </c>
      <c r="K413" s="26" t="s">
        <v>2755</v>
      </c>
      <c r="L413" s="26">
        <v>123</v>
      </c>
      <c r="M413" s="26" t="s">
        <v>2756</v>
      </c>
    </row>
    <row r="414" spans="1:13" ht="33.6" customHeight="1" x14ac:dyDescent="0.3">
      <c r="A414" s="25" t="s">
        <v>1701</v>
      </c>
      <c r="B414" s="25" t="s">
        <v>1702</v>
      </c>
      <c r="C414" s="25" t="s">
        <v>1494</v>
      </c>
      <c r="D414" s="25" t="s">
        <v>18</v>
      </c>
      <c r="E414" s="25" t="s">
        <v>66</v>
      </c>
      <c r="F414" s="25" t="s">
        <v>2751</v>
      </c>
      <c r="G414" s="25" t="s">
        <v>2775</v>
      </c>
      <c r="H414" s="25" t="s">
        <v>1702</v>
      </c>
      <c r="I414" s="25" t="s">
        <v>2776</v>
      </c>
      <c r="J414" s="26" t="s">
        <v>2754</v>
      </c>
      <c r="K414" s="26" t="s">
        <v>2755</v>
      </c>
      <c r="L414" s="26">
        <v>123</v>
      </c>
      <c r="M414" s="26" t="s">
        <v>2756</v>
      </c>
    </row>
    <row r="415" spans="1:13" ht="33.6" customHeight="1" x14ac:dyDescent="0.3">
      <c r="A415" s="25" t="s">
        <v>1701</v>
      </c>
      <c r="B415" s="25" t="s">
        <v>1702</v>
      </c>
      <c r="C415" s="25" t="s">
        <v>1494</v>
      </c>
      <c r="D415" s="25" t="s">
        <v>18</v>
      </c>
      <c r="E415" s="25" t="s">
        <v>127</v>
      </c>
      <c r="F415" s="25" t="s">
        <v>2757</v>
      </c>
      <c r="G415" s="25" t="s">
        <v>2758</v>
      </c>
      <c r="H415" s="25" t="s">
        <v>1702</v>
      </c>
      <c r="I415" s="25" t="s">
        <v>2779</v>
      </c>
      <c r="J415" s="26" t="s">
        <v>2754</v>
      </c>
      <c r="K415" s="26" t="s">
        <v>2755</v>
      </c>
      <c r="L415" s="26">
        <v>127</v>
      </c>
      <c r="M415" s="26" t="s">
        <v>2756</v>
      </c>
    </row>
    <row r="416" spans="1:13" ht="33.6" customHeight="1" x14ac:dyDescent="0.3">
      <c r="A416" s="25" t="s">
        <v>1705</v>
      </c>
      <c r="B416" s="25" t="s">
        <v>2887</v>
      </c>
      <c r="C416" s="25" t="s">
        <v>1494</v>
      </c>
      <c r="D416" s="25" t="s">
        <v>18</v>
      </c>
      <c r="E416" s="25" t="s">
        <v>51</v>
      </c>
      <c r="F416" s="25" t="s">
        <v>2809</v>
      </c>
      <c r="G416" s="25" t="s">
        <v>2810</v>
      </c>
      <c r="H416" s="25" t="s">
        <v>2887</v>
      </c>
      <c r="I416" s="25" t="s">
        <v>2811</v>
      </c>
      <c r="J416" s="26" t="s">
        <v>2754</v>
      </c>
      <c r="K416" s="26" t="s">
        <v>2755</v>
      </c>
      <c r="L416" s="26">
        <v>21</v>
      </c>
      <c r="M416" s="26" t="s">
        <v>2756</v>
      </c>
    </row>
    <row r="417" spans="1:13" ht="33.6" customHeight="1" x14ac:dyDescent="0.3">
      <c r="A417" s="25" t="s">
        <v>1705</v>
      </c>
      <c r="B417" s="25" t="s">
        <v>2887</v>
      </c>
      <c r="C417" s="25" t="s">
        <v>1494</v>
      </c>
      <c r="D417" s="25" t="s">
        <v>18</v>
      </c>
      <c r="E417" s="25" t="s">
        <v>66</v>
      </c>
      <c r="F417" s="25" t="s">
        <v>2751</v>
      </c>
      <c r="G417" s="25" t="s">
        <v>2775</v>
      </c>
      <c r="H417" s="25" t="s">
        <v>2887</v>
      </c>
      <c r="I417" s="25" t="s">
        <v>2806</v>
      </c>
      <c r="J417" s="26" t="s">
        <v>2754</v>
      </c>
      <c r="K417" s="26" t="s">
        <v>2755</v>
      </c>
      <c r="L417" s="26">
        <v>123</v>
      </c>
      <c r="M417" s="26" t="s">
        <v>2756</v>
      </c>
    </row>
    <row r="418" spans="1:13" ht="33.6" customHeight="1" x14ac:dyDescent="0.3">
      <c r="A418" s="25" t="s">
        <v>1705</v>
      </c>
      <c r="B418" s="25" t="s">
        <v>2887</v>
      </c>
      <c r="C418" s="25" t="s">
        <v>1494</v>
      </c>
      <c r="D418" s="25" t="s">
        <v>18</v>
      </c>
      <c r="E418" s="25" t="s">
        <v>127</v>
      </c>
      <c r="F418" s="25" t="s">
        <v>2757</v>
      </c>
      <c r="G418" s="25" t="s">
        <v>2758</v>
      </c>
      <c r="H418" s="25" t="s">
        <v>2887</v>
      </c>
      <c r="I418" s="25" t="s">
        <v>2779</v>
      </c>
      <c r="J418" s="26" t="s">
        <v>2754</v>
      </c>
      <c r="K418" s="26" t="s">
        <v>2755</v>
      </c>
      <c r="L418" s="26">
        <v>127</v>
      </c>
      <c r="M418" s="26" t="s">
        <v>2756</v>
      </c>
    </row>
    <row r="419" spans="1:13" ht="33.6" customHeight="1" x14ac:dyDescent="0.3">
      <c r="A419" s="25" t="s">
        <v>1711</v>
      </c>
      <c r="B419" s="25" t="s">
        <v>2888</v>
      </c>
      <c r="C419" s="25" t="s">
        <v>1494</v>
      </c>
      <c r="D419" s="25" t="s">
        <v>18</v>
      </c>
      <c r="E419" s="25" t="s">
        <v>66</v>
      </c>
      <c r="F419" s="25" t="s">
        <v>2751</v>
      </c>
      <c r="G419" s="25" t="s">
        <v>2775</v>
      </c>
      <c r="H419" s="25" t="s">
        <v>2888</v>
      </c>
      <c r="I419" s="25" t="s">
        <v>2806</v>
      </c>
      <c r="J419" s="26" t="s">
        <v>2754</v>
      </c>
      <c r="K419" s="26" t="s">
        <v>2755</v>
      </c>
      <c r="L419" s="26">
        <v>123</v>
      </c>
      <c r="M419" s="26" t="s">
        <v>2756</v>
      </c>
    </row>
    <row r="420" spans="1:13" ht="33.6" customHeight="1" x14ac:dyDescent="0.3">
      <c r="A420" s="25" t="s">
        <v>1711</v>
      </c>
      <c r="B420" s="25" t="s">
        <v>2888</v>
      </c>
      <c r="C420" s="25" t="s">
        <v>1494</v>
      </c>
      <c r="D420" s="25" t="s">
        <v>18</v>
      </c>
      <c r="E420" s="25" t="s">
        <v>127</v>
      </c>
      <c r="F420" s="25" t="s">
        <v>2757</v>
      </c>
      <c r="G420" s="25" t="s">
        <v>2758</v>
      </c>
      <c r="H420" s="25" t="s">
        <v>2888</v>
      </c>
      <c r="I420" s="25" t="s">
        <v>2779</v>
      </c>
      <c r="J420" s="26" t="s">
        <v>2754</v>
      </c>
      <c r="K420" s="26" t="s">
        <v>2755</v>
      </c>
      <c r="L420" s="26">
        <v>127</v>
      </c>
      <c r="M420" s="26" t="s">
        <v>2756</v>
      </c>
    </row>
    <row r="421" spans="1:13" ht="33.6" customHeight="1" x14ac:dyDescent="0.3">
      <c r="A421" s="25" t="s">
        <v>1717</v>
      </c>
      <c r="B421" s="25" t="s">
        <v>1718</v>
      </c>
      <c r="C421" s="25" t="s">
        <v>1494</v>
      </c>
      <c r="D421" s="25" t="s">
        <v>18</v>
      </c>
      <c r="E421" s="25" t="s">
        <v>260</v>
      </c>
      <c r="F421" s="25" t="s">
        <v>2768</v>
      </c>
      <c r="G421" s="25" t="s">
        <v>2769</v>
      </c>
      <c r="H421" s="25" t="s">
        <v>1718</v>
      </c>
      <c r="I421" s="25" t="s">
        <v>2815</v>
      </c>
      <c r="J421" s="26" t="s">
        <v>2754</v>
      </c>
      <c r="K421" s="26" t="s">
        <v>2755</v>
      </c>
      <c r="L421" s="26">
        <v>75</v>
      </c>
      <c r="M421" s="26" t="s">
        <v>2756</v>
      </c>
    </row>
    <row r="422" spans="1:13" ht="33.6" customHeight="1" x14ac:dyDescent="0.3">
      <c r="A422" s="25" t="s">
        <v>1717</v>
      </c>
      <c r="B422" s="25" t="s">
        <v>1718</v>
      </c>
      <c r="C422" s="25" t="s">
        <v>1494</v>
      </c>
      <c r="D422" s="25" t="s">
        <v>18</v>
      </c>
      <c r="E422" s="25" t="s">
        <v>66</v>
      </c>
      <c r="F422" s="25" t="s">
        <v>2751</v>
      </c>
      <c r="G422" s="25" t="s">
        <v>2773</v>
      </c>
      <c r="H422" s="25" t="s">
        <v>1718</v>
      </c>
      <c r="I422" s="25" t="s">
        <v>2774</v>
      </c>
      <c r="J422" s="26" t="s">
        <v>2754</v>
      </c>
      <c r="K422" s="26" t="s">
        <v>2755</v>
      </c>
      <c r="L422" s="26">
        <v>123</v>
      </c>
      <c r="M422" s="26" t="s">
        <v>2756</v>
      </c>
    </row>
    <row r="423" spans="1:13" ht="33.6" customHeight="1" x14ac:dyDescent="0.3">
      <c r="A423" s="25" t="s">
        <v>1717</v>
      </c>
      <c r="B423" s="25" t="s">
        <v>1718</v>
      </c>
      <c r="C423" s="25" t="s">
        <v>1494</v>
      </c>
      <c r="D423" s="25" t="s">
        <v>18</v>
      </c>
      <c r="E423" s="25" t="s">
        <v>66</v>
      </c>
      <c r="F423" s="25" t="s">
        <v>2751</v>
      </c>
      <c r="G423" s="25" t="s">
        <v>2775</v>
      </c>
      <c r="H423" s="25" t="s">
        <v>1718</v>
      </c>
      <c r="I423" s="25" t="s">
        <v>2776</v>
      </c>
      <c r="J423" s="26" t="s">
        <v>2754</v>
      </c>
      <c r="K423" s="26" t="s">
        <v>2755</v>
      </c>
      <c r="L423" s="26">
        <v>123</v>
      </c>
      <c r="M423" s="26" t="s">
        <v>2756</v>
      </c>
    </row>
    <row r="424" spans="1:13" ht="33.6" customHeight="1" x14ac:dyDescent="0.3">
      <c r="A424" s="25" t="s">
        <v>1717</v>
      </c>
      <c r="B424" s="25" t="s">
        <v>1718</v>
      </c>
      <c r="C424" s="25" t="s">
        <v>1494</v>
      </c>
      <c r="D424" s="25" t="s">
        <v>18</v>
      </c>
      <c r="E424" s="25" t="s">
        <v>127</v>
      </c>
      <c r="F424" s="25" t="s">
        <v>2757</v>
      </c>
      <c r="G424" s="25" t="s">
        <v>2758</v>
      </c>
      <c r="H424" s="25" t="s">
        <v>1718</v>
      </c>
      <c r="I424" s="25" t="s">
        <v>2779</v>
      </c>
      <c r="J424" s="26" t="s">
        <v>2754</v>
      </c>
      <c r="K424" s="26" t="s">
        <v>2755</v>
      </c>
      <c r="L424" s="26">
        <v>127</v>
      </c>
      <c r="M424" s="26" t="s">
        <v>2756</v>
      </c>
    </row>
    <row r="425" spans="1:13" ht="33.6" customHeight="1" x14ac:dyDescent="0.3">
      <c r="A425" s="25" t="s">
        <v>1721</v>
      </c>
      <c r="B425" s="25" t="s">
        <v>2889</v>
      </c>
      <c r="C425" s="25" t="s">
        <v>1494</v>
      </c>
      <c r="D425" s="25" t="s">
        <v>18</v>
      </c>
      <c r="E425" s="25" t="s">
        <v>260</v>
      </c>
      <c r="F425" s="25" t="s">
        <v>2768</v>
      </c>
      <c r="G425" s="25" t="s">
        <v>2769</v>
      </c>
      <c r="H425" s="25" t="s">
        <v>2889</v>
      </c>
      <c r="I425" s="25" t="s">
        <v>2815</v>
      </c>
      <c r="J425" s="26" t="s">
        <v>2754</v>
      </c>
      <c r="K425" s="26" t="s">
        <v>2755</v>
      </c>
      <c r="L425" s="26">
        <v>75</v>
      </c>
      <c r="M425" s="26" t="s">
        <v>2756</v>
      </c>
    </row>
    <row r="426" spans="1:13" ht="33.6" customHeight="1" x14ac:dyDescent="0.3">
      <c r="A426" s="25" t="s">
        <v>1721</v>
      </c>
      <c r="B426" s="25" t="s">
        <v>2889</v>
      </c>
      <c r="C426" s="25" t="s">
        <v>1494</v>
      </c>
      <c r="D426" s="25" t="s">
        <v>18</v>
      </c>
      <c r="E426" s="25" t="s">
        <v>127</v>
      </c>
      <c r="F426" s="25" t="s">
        <v>2757</v>
      </c>
      <c r="G426" s="25" t="s">
        <v>2758</v>
      </c>
      <c r="H426" s="25" t="s">
        <v>2889</v>
      </c>
      <c r="I426" s="25" t="s">
        <v>2779</v>
      </c>
      <c r="J426" s="26" t="s">
        <v>2754</v>
      </c>
      <c r="K426" s="26" t="s">
        <v>2755</v>
      </c>
      <c r="L426" s="26">
        <v>127</v>
      </c>
      <c r="M426" s="26" t="s">
        <v>2756</v>
      </c>
    </row>
    <row r="427" spans="1:13" ht="33.6" customHeight="1" x14ac:dyDescent="0.3">
      <c r="A427" s="25" t="s">
        <v>1727</v>
      </c>
      <c r="B427" s="25" t="s">
        <v>2890</v>
      </c>
      <c r="C427" s="25" t="s">
        <v>1494</v>
      </c>
      <c r="D427" s="25" t="s">
        <v>18</v>
      </c>
      <c r="E427" s="25" t="s">
        <v>260</v>
      </c>
      <c r="F427" s="25" t="s">
        <v>2768</v>
      </c>
      <c r="G427" s="25" t="s">
        <v>2769</v>
      </c>
      <c r="H427" s="25" t="s">
        <v>2890</v>
      </c>
      <c r="I427" s="25" t="s">
        <v>2770</v>
      </c>
      <c r="J427" s="26" t="s">
        <v>2754</v>
      </c>
      <c r="K427" s="26" t="s">
        <v>2755</v>
      </c>
      <c r="L427" s="26">
        <v>75</v>
      </c>
      <c r="M427" s="26" t="s">
        <v>2756</v>
      </c>
    </row>
    <row r="428" spans="1:13" ht="33.6" customHeight="1" x14ac:dyDescent="0.3">
      <c r="A428" s="25" t="s">
        <v>1727</v>
      </c>
      <c r="B428" s="25" t="s">
        <v>2890</v>
      </c>
      <c r="C428" s="25" t="s">
        <v>1494</v>
      </c>
      <c r="D428" s="25" t="s">
        <v>18</v>
      </c>
      <c r="E428" s="25" t="s">
        <v>66</v>
      </c>
      <c r="F428" s="25" t="s">
        <v>2751</v>
      </c>
      <c r="G428" s="25" t="s">
        <v>2773</v>
      </c>
      <c r="H428" s="25" t="s">
        <v>2890</v>
      </c>
      <c r="I428" s="25" t="s">
        <v>2774</v>
      </c>
      <c r="J428" s="26" t="s">
        <v>2754</v>
      </c>
      <c r="K428" s="26" t="s">
        <v>2755</v>
      </c>
      <c r="L428" s="26">
        <v>123</v>
      </c>
      <c r="M428" s="26" t="s">
        <v>2756</v>
      </c>
    </row>
    <row r="429" spans="1:13" ht="33.6" customHeight="1" x14ac:dyDescent="0.3">
      <c r="A429" s="25" t="s">
        <v>1727</v>
      </c>
      <c r="B429" s="25" t="s">
        <v>2890</v>
      </c>
      <c r="C429" s="25" t="s">
        <v>1494</v>
      </c>
      <c r="D429" s="25" t="s">
        <v>18</v>
      </c>
      <c r="E429" s="25" t="s">
        <v>66</v>
      </c>
      <c r="F429" s="25" t="s">
        <v>2751</v>
      </c>
      <c r="G429" s="25" t="s">
        <v>2775</v>
      </c>
      <c r="H429" s="25" t="s">
        <v>2890</v>
      </c>
      <c r="I429" s="25" t="s">
        <v>2776</v>
      </c>
      <c r="J429" s="26" t="s">
        <v>2754</v>
      </c>
      <c r="K429" s="26" t="s">
        <v>2755</v>
      </c>
      <c r="L429" s="26">
        <v>123</v>
      </c>
      <c r="M429" s="26" t="s">
        <v>2756</v>
      </c>
    </row>
    <row r="430" spans="1:13" ht="33.6" customHeight="1" x14ac:dyDescent="0.3">
      <c r="A430" s="25" t="s">
        <v>1727</v>
      </c>
      <c r="B430" s="25" t="s">
        <v>2890</v>
      </c>
      <c r="C430" s="25" t="s">
        <v>1494</v>
      </c>
      <c r="D430" s="25" t="s">
        <v>18</v>
      </c>
      <c r="E430" s="25" t="s">
        <v>127</v>
      </c>
      <c r="F430" s="25" t="s">
        <v>2757</v>
      </c>
      <c r="G430" s="25" t="s">
        <v>2758</v>
      </c>
      <c r="H430" s="25" t="s">
        <v>2890</v>
      </c>
      <c r="I430" s="25" t="s">
        <v>2779</v>
      </c>
      <c r="J430" s="26" t="s">
        <v>2754</v>
      </c>
      <c r="K430" s="26" t="s">
        <v>2755</v>
      </c>
      <c r="L430" s="26">
        <v>127</v>
      </c>
      <c r="M430" s="26" t="s">
        <v>2756</v>
      </c>
    </row>
    <row r="431" spans="1:13" ht="33.6" customHeight="1" x14ac:dyDescent="0.3">
      <c r="A431" s="25" t="s">
        <v>1731</v>
      </c>
      <c r="B431" s="25" t="s">
        <v>2891</v>
      </c>
      <c r="C431" s="25" t="s">
        <v>1494</v>
      </c>
      <c r="D431" s="25" t="s">
        <v>18</v>
      </c>
      <c r="E431" s="25" t="s">
        <v>260</v>
      </c>
      <c r="F431" s="25" t="s">
        <v>2768</v>
      </c>
      <c r="G431" s="25" t="s">
        <v>2769</v>
      </c>
      <c r="H431" s="25" t="s">
        <v>2891</v>
      </c>
      <c r="I431" s="25" t="s">
        <v>2815</v>
      </c>
      <c r="J431" s="26" t="s">
        <v>2754</v>
      </c>
      <c r="K431" s="26" t="s">
        <v>2755</v>
      </c>
      <c r="L431" s="26">
        <v>75</v>
      </c>
      <c r="M431" s="26" t="s">
        <v>2756</v>
      </c>
    </row>
    <row r="432" spans="1:13" ht="33.6" customHeight="1" x14ac:dyDescent="0.3">
      <c r="A432" s="25" t="s">
        <v>1731</v>
      </c>
      <c r="B432" s="25" t="s">
        <v>2891</v>
      </c>
      <c r="C432" s="25" t="s">
        <v>1494</v>
      </c>
      <c r="D432" s="25" t="s">
        <v>18</v>
      </c>
      <c r="E432" s="25" t="s">
        <v>51</v>
      </c>
      <c r="F432" s="25" t="s">
        <v>2809</v>
      </c>
      <c r="G432" s="25" t="s">
        <v>2892</v>
      </c>
      <c r="H432" s="25" t="s">
        <v>2891</v>
      </c>
      <c r="I432" s="25" t="s">
        <v>2893</v>
      </c>
      <c r="J432" s="26" t="s">
        <v>2754</v>
      </c>
      <c r="K432" s="26" t="s">
        <v>2755</v>
      </c>
      <c r="L432" s="26">
        <v>21</v>
      </c>
      <c r="M432" s="26" t="s">
        <v>2756</v>
      </c>
    </row>
    <row r="433" spans="1:13" ht="33.6" customHeight="1" x14ac:dyDescent="0.3">
      <c r="A433" s="25" t="s">
        <v>1731</v>
      </c>
      <c r="B433" s="25" t="s">
        <v>2891</v>
      </c>
      <c r="C433" s="25" t="s">
        <v>1494</v>
      </c>
      <c r="D433" s="25" t="s">
        <v>18</v>
      </c>
      <c r="E433" s="25" t="s">
        <v>66</v>
      </c>
      <c r="F433" s="25" t="s">
        <v>2751</v>
      </c>
      <c r="G433" s="25" t="s">
        <v>2775</v>
      </c>
      <c r="H433" s="25" t="s">
        <v>2891</v>
      </c>
      <c r="I433" s="25" t="s">
        <v>2806</v>
      </c>
      <c r="J433" s="26" t="s">
        <v>2754</v>
      </c>
      <c r="K433" s="26" t="s">
        <v>2755</v>
      </c>
      <c r="L433" s="26">
        <v>123</v>
      </c>
      <c r="M433" s="26" t="s">
        <v>2756</v>
      </c>
    </row>
    <row r="434" spans="1:13" ht="33.6" customHeight="1" x14ac:dyDescent="0.3">
      <c r="A434" s="25" t="s">
        <v>1731</v>
      </c>
      <c r="B434" s="25" t="s">
        <v>2891</v>
      </c>
      <c r="C434" s="25" t="s">
        <v>1494</v>
      </c>
      <c r="D434" s="25" t="s">
        <v>18</v>
      </c>
      <c r="E434" s="25" t="s">
        <v>127</v>
      </c>
      <c r="F434" s="25" t="s">
        <v>2757</v>
      </c>
      <c r="G434" s="25" t="s">
        <v>2758</v>
      </c>
      <c r="H434" s="25" t="s">
        <v>2891</v>
      </c>
      <c r="I434" s="25" t="s">
        <v>2779</v>
      </c>
      <c r="J434" s="26" t="s">
        <v>2754</v>
      </c>
      <c r="K434" s="26" t="s">
        <v>2755</v>
      </c>
      <c r="L434" s="26">
        <v>127</v>
      </c>
      <c r="M434" s="26" t="s">
        <v>2756</v>
      </c>
    </row>
    <row r="435" spans="1:13" ht="33.6" customHeight="1" x14ac:dyDescent="0.3">
      <c r="A435" s="25" t="s">
        <v>1738</v>
      </c>
      <c r="B435" s="25" t="s">
        <v>2894</v>
      </c>
      <c r="C435" s="25" t="s">
        <v>1494</v>
      </c>
      <c r="D435" s="25" t="s">
        <v>18</v>
      </c>
      <c r="E435" s="25" t="s">
        <v>260</v>
      </c>
      <c r="F435" s="25" t="s">
        <v>2768</v>
      </c>
      <c r="G435" s="25" t="s">
        <v>2769</v>
      </c>
      <c r="H435" s="25" t="s">
        <v>2894</v>
      </c>
      <c r="I435" s="25" t="s">
        <v>2770</v>
      </c>
      <c r="J435" s="26" t="s">
        <v>2754</v>
      </c>
      <c r="K435" s="26" t="s">
        <v>2755</v>
      </c>
      <c r="L435" s="26">
        <v>75</v>
      </c>
      <c r="M435" s="26" t="s">
        <v>2756</v>
      </c>
    </row>
    <row r="436" spans="1:13" ht="33.6" customHeight="1" x14ac:dyDescent="0.3">
      <c r="A436" s="25" t="s">
        <v>1738</v>
      </c>
      <c r="B436" s="25" t="s">
        <v>2894</v>
      </c>
      <c r="C436" s="25" t="s">
        <v>1494</v>
      </c>
      <c r="D436" s="25" t="s">
        <v>18</v>
      </c>
      <c r="E436" s="25" t="s">
        <v>66</v>
      </c>
      <c r="F436" s="25" t="s">
        <v>2751</v>
      </c>
      <c r="G436" s="25" t="s">
        <v>2773</v>
      </c>
      <c r="H436" s="25" t="s">
        <v>2894</v>
      </c>
      <c r="I436" s="25" t="s">
        <v>2774</v>
      </c>
      <c r="J436" s="26" t="s">
        <v>2754</v>
      </c>
      <c r="K436" s="26" t="s">
        <v>2755</v>
      </c>
      <c r="L436" s="26">
        <v>123</v>
      </c>
      <c r="M436" s="26" t="s">
        <v>2756</v>
      </c>
    </row>
    <row r="437" spans="1:13" ht="33.6" customHeight="1" x14ac:dyDescent="0.3">
      <c r="A437" s="25" t="s">
        <v>1738</v>
      </c>
      <c r="B437" s="25" t="s">
        <v>2894</v>
      </c>
      <c r="C437" s="25" t="s">
        <v>1494</v>
      </c>
      <c r="D437" s="25" t="s">
        <v>18</v>
      </c>
      <c r="E437" s="25" t="s">
        <v>66</v>
      </c>
      <c r="F437" s="25" t="s">
        <v>2751</v>
      </c>
      <c r="G437" s="25" t="s">
        <v>2775</v>
      </c>
      <c r="H437" s="25" t="s">
        <v>2894</v>
      </c>
      <c r="I437" s="25" t="s">
        <v>2776</v>
      </c>
      <c r="J437" s="26" t="s">
        <v>2754</v>
      </c>
      <c r="K437" s="26" t="s">
        <v>2755</v>
      </c>
      <c r="L437" s="26">
        <v>123</v>
      </c>
      <c r="M437" s="26" t="s">
        <v>2756</v>
      </c>
    </row>
    <row r="438" spans="1:13" ht="33.6" customHeight="1" x14ac:dyDescent="0.3">
      <c r="A438" s="25" t="s">
        <v>1738</v>
      </c>
      <c r="B438" s="25" t="s">
        <v>2894</v>
      </c>
      <c r="C438" s="25" t="s">
        <v>1494</v>
      </c>
      <c r="D438" s="25" t="s">
        <v>18</v>
      </c>
      <c r="E438" s="25" t="s">
        <v>127</v>
      </c>
      <c r="F438" s="25" t="s">
        <v>2757</v>
      </c>
      <c r="G438" s="25" t="s">
        <v>2760</v>
      </c>
      <c r="H438" s="25" t="s">
        <v>2894</v>
      </c>
      <c r="I438" s="25" t="s">
        <v>2761</v>
      </c>
      <c r="J438" s="26" t="s">
        <v>2754</v>
      </c>
      <c r="K438" s="26" t="s">
        <v>2755</v>
      </c>
      <c r="L438" s="26">
        <v>127</v>
      </c>
      <c r="M438" s="26" t="s">
        <v>2756</v>
      </c>
    </row>
    <row r="439" spans="1:13" ht="33.6" customHeight="1" x14ac:dyDescent="0.3">
      <c r="A439" s="25" t="s">
        <v>1744</v>
      </c>
      <c r="B439" s="25" t="s">
        <v>2895</v>
      </c>
      <c r="C439" s="25" t="s">
        <v>1494</v>
      </c>
      <c r="D439" s="25" t="s">
        <v>18</v>
      </c>
      <c r="E439" s="25" t="s">
        <v>51</v>
      </c>
      <c r="F439" s="25" t="s">
        <v>2809</v>
      </c>
      <c r="G439" s="25" t="s">
        <v>2810</v>
      </c>
      <c r="H439" s="25" t="s">
        <v>2895</v>
      </c>
      <c r="I439" s="25" t="s">
        <v>2811</v>
      </c>
      <c r="J439" s="26" t="s">
        <v>2754</v>
      </c>
      <c r="K439" s="26" t="s">
        <v>2755</v>
      </c>
      <c r="L439" s="26">
        <v>21</v>
      </c>
      <c r="M439" s="26" t="s">
        <v>2756</v>
      </c>
    </row>
    <row r="440" spans="1:13" ht="33.6" customHeight="1" x14ac:dyDescent="0.3">
      <c r="A440" s="25" t="s">
        <v>1744</v>
      </c>
      <c r="B440" s="25" t="s">
        <v>2895</v>
      </c>
      <c r="C440" s="25" t="s">
        <v>1494</v>
      </c>
      <c r="D440" s="25" t="s">
        <v>18</v>
      </c>
      <c r="E440" s="25" t="s">
        <v>66</v>
      </c>
      <c r="F440" s="25" t="s">
        <v>2751</v>
      </c>
      <c r="G440" s="25" t="s">
        <v>2775</v>
      </c>
      <c r="H440" s="25" t="s">
        <v>2895</v>
      </c>
      <c r="I440" s="25" t="s">
        <v>2806</v>
      </c>
      <c r="J440" s="26" t="s">
        <v>2754</v>
      </c>
      <c r="K440" s="26" t="s">
        <v>2755</v>
      </c>
      <c r="L440" s="26">
        <v>123</v>
      </c>
      <c r="M440" s="26" t="s">
        <v>2756</v>
      </c>
    </row>
    <row r="441" spans="1:13" ht="33.6" customHeight="1" x14ac:dyDescent="0.3">
      <c r="A441" s="25" t="s">
        <v>1744</v>
      </c>
      <c r="B441" s="25" t="s">
        <v>2895</v>
      </c>
      <c r="C441" s="25" t="s">
        <v>1494</v>
      </c>
      <c r="D441" s="25" t="s">
        <v>18</v>
      </c>
      <c r="E441" s="25" t="s">
        <v>127</v>
      </c>
      <c r="F441" s="25" t="s">
        <v>2757</v>
      </c>
      <c r="G441" s="25" t="s">
        <v>2758</v>
      </c>
      <c r="H441" s="25" t="s">
        <v>2895</v>
      </c>
      <c r="I441" s="25" t="s">
        <v>2779</v>
      </c>
      <c r="J441" s="26" t="s">
        <v>2754</v>
      </c>
      <c r="K441" s="26" t="s">
        <v>2755</v>
      </c>
      <c r="L441" s="26">
        <v>127</v>
      </c>
      <c r="M441" s="26" t="s">
        <v>2756</v>
      </c>
    </row>
    <row r="442" spans="1:13" ht="33.6" customHeight="1" x14ac:dyDescent="0.3">
      <c r="A442" s="25" t="s">
        <v>1756</v>
      </c>
      <c r="B442" s="25" t="s">
        <v>2896</v>
      </c>
      <c r="C442" s="25" t="s">
        <v>1494</v>
      </c>
      <c r="D442" s="25" t="s">
        <v>18</v>
      </c>
      <c r="E442" s="25" t="s">
        <v>127</v>
      </c>
      <c r="F442" s="25" t="s">
        <v>2757</v>
      </c>
      <c r="G442" s="25" t="s">
        <v>2758</v>
      </c>
      <c r="H442" s="25" t="s">
        <v>2896</v>
      </c>
      <c r="I442" s="25" t="s">
        <v>2779</v>
      </c>
      <c r="J442" s="26" t="s">
        <v>2754</v>
      </c>
      <c r="K442" s="26" t="s">
        <v>2755</v>
      </c>
      <c r="L442" s="26">
        <v>127</v>
      </c>
      <c r="M442" s="26" t="s">
        <v>2756</v>
      </c>
    </row>
    <row r="443" spans="1:13" ht="33.6" customHeight="1" x14ac:dyDescent="0.3">
      <c r="A443" s="25" t="s">
        <v>1762</v>
      </c>
      <c r="B443" s="25" t="s">
        <v>2897</v>
      </c>
      <c r="C443" s="25" t="s">
        <v>1494</v>
      </c>
      <c r="D443" s="25" t="s">
        <v>18</v>
      </c>
      <c r="E443" s="25" t="s">
        <v>260</v>
      </c>
      <c r="F443" s="25" t="s">
        <v>2768</v>
      </c>
      <c r="G443" s="25" t="s">
        <v>2769</v>
      </c>
      <c r="H443" s="25" t="s">
        <v>2897</v>
      </c>
      <c r="I443" s="25" t="s">
        <v>2770</v>
      </c>
      <c r="J443" s="26" t="s">
        <v>2754</v>
      </c>
      <c r="K443" s="26" t="s">
        <v>2755</v>
      </c>
      <c r="L443" s="26">
        <v>75</v>
      </c>
      <c r="M443" s="26" t="s">
        <v>2756</v>
      </c>
    </row>
    <row r="444" spans="1:13" ht="33.6" customHeight="1" x14ac:dyDescent="0.3">
      <c r="A444" s="25" t="s">
        <v>1762</v>
      </c>
      <c r="B444" s="25" t="s">
        <v>2897</v>
      </c>
      <c r="C444" s="25" t="s">
        <v>1494</v>
      </c>
      <c r="D444" s="25" t="s">
        <v>18</v>
      </c>
      <c r="E444" s="25" t="s">
        <v>260</v>
      </c>
      <c r="F444" s="25" t="s">
        <v>2768</v>
      </c>
      <c r="G444" s="25" t="s">
        <v>2788</v>
      </c>
      <c r="H444" s="25" t="s">
        <v>2897</v>
      </c>
      <c r="I444" s="25" t="s">
        <v>2789</v>
      </c>
      <c r="J444" s="26" t="s">
        <v>2754</v>
      </c>
      <c r="K444" s="26" t="s">
        <v>2755</v>
      </c>
      <c r="L444" s="26">
        <v>75</v>
      </c>
      <c r="M444" s="26" t="s">
        <v>2756</v>
      </c>
    </row>
    <row r="445" spans="1:13" ht="33.6" customHeight="1" x14ac:dyDescent="0.3">
      <c r="A445" s="25" t="s">
        <v>1773</v>
      </c>
      <c r="B445" s="25" t="s">
        <v>2898</v>
      </c>
      <c r="C445" s="25" t="s">
        <v>1494</v>
      </c>
      <c r="D445" s="25" t="s">
        <v>18</v>
      </c>
      <c r="E445" s="25" t="s">
        <v>51</v>
      </c>
      <c r="F445" s="25" t="s">
        <v>2809</v>
      </c>
      <c r="G445" s="25" t="s">
        <v>2810</v>
      </c>
      <c r="H445" s="25" t="s">
        <v>2898</v>
      </c>
      <c r="I445" s="25" t="s">
        <v>2811</v>
      </c>
      <c r="J445" s="26" t="s">
        <v>2754</v>
      </c>
      <c r="K445" s="26" t="s">
        <v>2755</v>
      </c>
      <c r="L445" s="26">
        <v>21</v>
      </c>
      <c r="M445" s="26" t="s">
        <v>2756</v>
      </c>
    </row>
    <row r="446" spans="1:13" ht="33.6" customHeight="1" x14ac:dyDescent="0.3">
      <c r="A446" s="25" t="s">
        <v>1773</v>
      </c>
      <c r="B446" s="25" t="s">
        <v>2898</v>
      </c>
      <c r="C446" s="25" t="s">
        <v>1494</v>
      </c>
      <c r="D446" s="25" t="s">
        <v>18</v>
      </c>
      <c r="E446" s="25" t="s">
        <v>127</v>
      </c>
      <c r="F446" s="25" t="s">
        <v>2757</v>
      </c>
      <c r="G446" s="25" t="s">
        <v>2758</v>
      </c>
      <c r="H446" s="25" t="s">
        <v>2898</v>
      </c>
      <c r="I446" s="25" t="s">
        <v>2779</v>
      </c>
      <c r="J446" s="26" t="s">
        <v>2754</v>
      </c>
      <c r="K446" s="26" t="s">
        <v>2755</v>
      </c>
      <c r="L446" s="26">
        <v>127</v>
      </c>
      <c r="M446" s="26" t="s">
        <v>2756</v>
      </c>
    </row>
    <row r="447" spans="1:13" ht="33.6" customHeight="1" x14ac:dyDescent="0.3">
      <c r="A447" s="25" t="s">
        <v>1777</v>
      </c>
      <c r="B447" s="25" t="s">
        <v>2899</v>
      </c>
      <c r="C447" s="25" t="s">
        <v>1494</v>
      </c>
      <c r="D447" s="25" t="s">
        <v>18</v>
      </c>
      <c r="E447" s="25" t="s">
        <v>260</v>
      </c>
      <c r="F447" s="25" t="s">
        <v>2768</v>
      </c>
      <c r="G447" s="25" t="s">
        <v>2769</v>
      </c>
      <c r="H447" s="25" t="s">
        <v>2899</v>
      </c>
      <c r="I447" s="25" t="s">
        <v>2770</v>
      </c>
      <c r="J447" s="26" t="s">
        <v>2754</v>
      </c>
      <c r="K447" s="26" t="s">
        <v>2755</v>
      </c>
      <c r="L447" s="26">
        <v>75</v>
      </c>
      <c r="M447" s="26" t="s">
        <v>2756</v>
      </c>
    </row>
    <row r="448" spans="1:13" ht="33.6" customHeight="1" x14ac:dyDescent="0.3">
      <c r="A448" s="25" t="s">
        <v>1777</v>
      </c>
      <c r="B448" s="25" t="s">
        <v>2899</v>
      </c>
      <c r="C448" s="25" t="s">
        <v>1494</v>
      </c>
      <c r="D448" s="25" t="s">
        <v>18</v>
      </c>
      <c r="E448" s="25" t="s">
        <v>260</v>
      </c>
      <c r="F448" s="25" t="s">
        <v>2768</v>
      </c>
      <c r="G448" s="25" t="s">
        <v>2788</v>
      </c>
      <c r="H448" s="25" t="s">
        <v>2899</v>
      </c>
      <c r="I448" s="25" t="s">
        <v>2789</v>
      </c>
      <c r="J448" s="26" t="s">
        <v>2754</v>
      </c>
      <c r="K448" s="26" t="s">
        <v>2755</v>
      </c>
      <c r="L448" s="26">
        <v>75</v>
      </c>
      <c r="M448" s="26" t="s">
        <v>2756</v>
      </c>
    </row>
    <row r="449" spans="1:13" ht="33.6" customHeight="1" x14ac:dyDescent="0.3">
      <c r="A449" s="25" t="s">
        <v>1777</v>
      </c>
      <c r="B449" s="25" t="s">
        <v>2899</v>
      </c>
      <c r="C449" s="25" t="s">
        <v>1494</v>
      </c>
      <c r="D449" s="25" t="s">
        <v>18</v>
      </c>
      <c r="E449" s="25" t="s">
        <v>66</v>
      </c>
      <c r="F449" s="25" t="s">
        <v>2751</v>
      </c>
      <c r="G449" s="25" t="s">
        <v>2773</v>
      </c>
      <c r="H449" s="25" t="s">
        <v>2899</v>
      </c>
      <c r="I449" s="25" t="s">
        <v>2774</v>
      </c>
      <c r="J449" s="26" t="s">
        <v>2754</v>
      </c>
      <c r="K449" s="26" t="s">
        <v>2755</v>
      </c>
      <c r="L449" s="26">
        <v>123</v>
      </c>
      <c r="M449" s="26" t="s">
        <v>2756</v>
      </c>
    </row>
    <row r="450" spans="1:13" ht="33.6" customHeight="1" x14ac:dyDescent="0.3">
      <c r="A450" s="25" t="s">
        <v>1777</v>
      </c>
      <c r="B450" s="25" t="s">
        <v>2899</v>
      </c>
      <c r="C450" s="25" t="s">
        <v>1494</v>
      </c>
      <c r="D450" s="25" t="s">
        <v>18</v>
      </c>
      <c r="E450" s="25" t="s">
        <v>66</v>
      </c>
      <c r="F450" s="25" t="s">
        <v>2751</v>
      </c>
      <c r="G450" s="25" t="s">
        <v>2775</v>
      </c>
      <c r="H450" s="25" t="s">
        <v>2899</v>
      </c>
      <c r="I450" s="25" t="s">
        <v>2776</v>
      </c>
      <c r="J450" s="26" t="s">
        <v>2754</v>
      </c>
      <c r="K450" s="26" t="s">
        <v>2755</v>
      </c>
      <c r="L450" s="26">
        <v>123</v>
      </c>
      <c r="M450" s="26" t="s">
        <v>2756</v>
      </c>
    </row>
    <row r="451" spans="1:13" ht="33.6" customHeight="1" x14ac:dyDescent="0.3">
      <c r="A451" s="25" t="s">
        <v>1777</v>
      </c>
      <c r="B451" s="25" t="s">
        <v>2899</v>
      </c>
      <c r="C451" s="25" t="s">
        <v>1494</v>
      </c>
      <c r="D451" s="25" t="s">
        <v>18</v>
      </c>
      <c r="E451" s="25" t="s">
        <v>127</v>
      </c>
      <c r="F451" s="25" t="s">
        <v>2757</v>
      </c>
      <c r="G451" s="25" t="s">
        <v>2758</v>
      </c>
      <c r="H451" s="25" t="s">
        <v>2899</v>
      </c>
      <c r="I451" s="25" t="s">
        <v>2759</v>
      </c>
      <c r="J451" s="26" t="s">
        <v>2754</v>
      </c>
      <c r="K451" s="26" t="s">
        <v>2755</v>
      </c>
      <c r="L451" s="26">
        <v>127</v>
      </c>
      <c r="M451" s="26" t="s">
        <v>2756</v>
      </c>
    </row>
    <row r="452" spans="1:13" ht="33.6" customHeight="1" x14ac:dyDescent="0.3">
      <c r="A452" s="25" t="s">
        <v>1783</v>
      </c>
      <c r="B452" s="25" t="s">
        <v>2900</v>
      </c>
      <c r="C452" s="25" t="s">
        <v>1494</v>
      </c>
      <c r="D452" s="25" t="s">
        <v>18</v>
      </c>
      <c r="E452" s="25" t="s">
        <v>127</v>
      </c>
      <c r="F452" s="25" t="s">
        <v>2757</v>
      </c>
      <c r="G452" s="25" t="s">
        <v>2758</v>
      </c>
      <c r="H452" s="25" t="s">
        <v>2900</v>
      </c>
      <c r="I452" s="25" t="s">
        <v>2759</v>
      </c>
      <c r="J452" s="26" t="s">
        <v>2754</v>
      </c>
      <c r="K452" s="26" t="s">
        <v>2755</v>
      </c>
      <c r="L452" s="26">
        <v>127</v>
      </c>
      <c r="M452" s="26" t="s">
        <v>2756</v>
      </c>
    </row>
    <row r="453" spans="1:13" ht="33.6" customHeight="1" x14ac:dyDescent="0.3">
      <c r="A453" s="25" t="s">
        <v>1793</v>
      </c>
      <c r="B453" s="25" t="s">
        <v>1794</v>
      </c>
      <c r="C453" s="25" t="s">
        <v>1494</v>
      </c>
      <c r="D453" s="25" t="s">
        <v>18</v>
      </c>
      <c r="E453" s="25" t="s">
        <v>260</v>
      </c>
      <c r="F453" s="25" t="s">
        <v>2768</v>
      </c>
      <c r="G453" s="25" t="s">
        <v>2769</v>
      </c>
      <c r="H453" s="25" t="s">
        <v>1794</v>
      </c>
      <c r="I453" s="25" t="s">
        <v>2815</v>
      </c>
      <c r="J453" s="26" t="s">
        <v>2754</v>
      </c>
      <c r="K453" s="26" t="s">
        <v>2755</v>
      </c>
      <c r="L453" s="26">
        <v>75</v>
      </c>
      <c r="M453" s="26" t="s">
        <v>2756</v>
      </c>
    </row>
    <row r="454" spans="1:13" ht="33.6" customHeight="1" x14ac:dyDescent="0.3">
      <c r="A454" s="25" t="s">
        <v>1793</v>
      </c>
      <c r="B454" s="25" t="s">
        <v>1794</v>
      </c>
      <c r="C454" s="25" t="s">
        <v>1494</v>
      </c>
      <c r="D454" s="25" t="s">
        <v>18</v>
      </c>
      <c r="E454" s="25" t="s">
        <v>127</v>
      </c>
      <c r="F454" s="25" t="s">
        <v>2757</v>
      </c>
      <c r="G454" s="25" t="s">
        <v>2758</v>
      </c>
      <c r="H454" s="25" t="s">
        <v>1794</v>
      </c>
      <c r="I454" s="25" t="s">
        <v>2779</v>
      </c>
      <c r="J454" s="26" t="s">
        <v>2754</v>
      </c>
      <c r="K454" s="26" t="s">
        <v>2755</v>
      </c>
      <c r="L454" s="26">
        <v>127</v>
      </c>
      <c r="M454" s="26" t="s">
        <v>2756</v>
      </c>
    </row>
    <row r="455" spans="1:13" ht="33.6" customHeight="1" x14ac:dyDescent="0.3">
      <c r="A455" s="25" t="s">
        <v>1799</v>
      </c>
      <c r="B455" s="25" t="s">
        <v>1800</v>
      </c>
      <c r="C455" s="25" t="s">
        <v>1494</v>
      </c>
      <c r="D455" s="25" t="s">
        <v>18</v>
      </c>
      <c r="E455" s="25" t="s">
        <v>260</v>
      </c>
      <c r="F455" s="25" t="s">
        <v>2768</v>
      </c>
      <c r="G455" s="25" t="s">
        <v>2790</v>
      </c>
      <c r="H455" s="25" t="s">
        <v>1800</v>
      </c>
      <c r="I455" s="25" t="s">
        <v>2791</v>
      </c>
      <c r="J455" s="26" t="s">
        <v>2754</v>
      </c>
      <c r="K455" s="26" t="s">
        <v>2755</v>
      </c>
      <c r="L455" s="26">
        <v>75</v>
      </c>
      <c r="M455" s="26" t="s">
        <v>2756</v>
      </c>
    </row>
    <row r="456" spans="1:13" ht="33.6" customHeight="1" x14ac:dyDescent="0.3">
      <c r="A456" s="25" t="s">
        <v>1799</v>
      </c>
      <c r="B456" s="25" t="s">
        <v>1800</v>
      </c>
      <c r="C456" s="25" t="s">
        <v>1494</v>
      </c>
      <c r="D456" s="25" t="s">
        <v>18</v>
      </c>
      <c r="E456" s="25" t="s">
        <v>66</v>
      </c>
      <c r="F456" s="25" t="s">
        <v>2751</v>
      </c>
      <c r="G456" s="25" t="s">
        <v>2794</v>
      </c>
      <c r="H456" s="25" t="s">
        <v>1800</v>
      </c>
      <c r="I456" s="25" t="s">
        <v>2795</v>
      </c>
      <c r="J456" s="26" t="s">
        <v>2754</v>
      </c>
      <c r="K456" s="26" t="s">
        <v>2755</v>
      </c>
      <c r="L456" s="26">
        <v>123</v>
      </c>
      <c r="M456" s="26" t="s">
        <v>2756</v>
      </c>
    </row>
    <row r="457" spans="1:13" ht="33.6" customHeight="1" x14ac:dyDescent="0.3">
      <c r="A457" s="25" t="s">
        <v>1799</v>
      </c>
      <c r="B457" s="25" t="s">
        <v>1800</v>
      </c>
      <c r="C457" s="25" t="s">
        <v>1494</v>
      </c>
      <c r="D457" s="25" t="s">
        <v>18</v>
      </c>
      <c r="E457" s="25" t="s">
        <v>66</v>
      </c>
      <c r="F457" s="25" t="s">
        <v>2751</v>
      </c>
      <c r="G457" s="25" t="s">
        <v>2773</v>
      </c>
      <c r="H457" s="25" t="s">
        <v>1800</v>
      </c>
      <c r="I457" s="25" t="s">
        <v>2774</v>
      </c>
      <c r="J457" s="26" t="s">
        <v>2754</v>
      </c>
      <c r="K457" s="26" t="s">
        <v>2755</v>
      </c>
      <c r="L457" s="26">
        <v>123</v>
      </c>
      <c r="M457" s="26" t="s">
        <v>2756</v>
      </c>
    </row>
    <row r="458" spans="1:13" ht="33.6" customHeight="1" x14ac:dyDescent="0.3">
      <c r="A458" s="25" t="s">
        <v>1799</v>
      </c>
      <c r="B458" s="25" t="s">
        <v>1800</v>
      </c>
      <c r="C458" s="25" t="s">
        <v>1494</v>
      </c>
      <c r="D458" s="25" t="s">
        <v>18</v>
      </c>
      <c r="E458" s="25" t="s">
        <v>66</v>
      </c>
      <c r="F458" s="25" t="s">
        <v>2751</v>
      </c>
      <c r="G458" s="25" t="s">
        <v>2775</v>
      </c>
      <c r="H458" s="25" t="s">
        <v>1800</v>
      </c>
      <c r="I458" s="25" t="s">
        <v>2776</v>
      </c>
      <c r="J458" s="26" t="s">
        <v>2754</v>
      </c>
      <c r="K458" s="26" t="s">
        <v>2755</v>
      </c>
      <c r="L458" s="26">
        <v>123</v>
      </c>
      <c r="M458" s="26" t="s">
        <v>2756</v>
      </c>
    </row>
    <row r="459" spans="1:13" ht="33.6" customHeight="1" x14ac:dyDescent="0.3">
      <c r="A459" s="25" t="s">
        <v>1799</v>
      </c>
      <c r="B459" s="25" t="s">
        <v>1800</v>
      </c>
      <c r="C459" s="25" t="s">
        <v>1494</v>
      </c>
      <c r="D459" s="25" t="s">
        <v>18</v>
      </c>
      <c r="E459" s="25" t="s">
        <v>66</v>
      </c>
      <c r="F459" s="25" t="s">
        <v>2751</v>
      </c>
      <c r="G459" s="25" t="s">
        <v>2752</v>
      </c>
      <c r="H459" s="25" t="s">
        <v>1800</v>
      </c>
      <c r="I459" s="25" t="s">
        <v>2753</v>
      </c>
      <c r="J459" s="26" t="s">
        <v>2754</v>
      </c>
      <c r="K459" s="26" t="s">
        <v>2755</v>
      </c>
      <c r="L459" s="26">
        <v>123</v>
      </c>
      <c r="M459" s="26" t="s">
        <v>2756</v>
      </c>
    </row>
    <row r="460" spans="1:13" ht="33.6" customHeight="1" x14ac:dyDescent="0.3">
      <c r="A460" s="25" t="s">
        <v>1799</v>
      </c>
      <c r="B460" s="25" t="s">
        <v>1800</v>
      </c>
      <c r="C460" s="25" t="s">
        <v>1494</v>
      </c>
      <c r="D460" s="25" t="s">
        <v>18</v>
      </c>
      <c r="E460" s="25" t="s">
        <v>127</v>
      </c>
      <c r="F460" s="25" t="s">
        <v>2757</v>
      </c>
      <c r="G460" s="25" t="s">
        <v>2758</v>
      </c>
      <c r="H460" s="25" t="s">
        <v>1800</v>
      </c>
      <c r="I460" s="25" t="s">
        <v>2779</v>
      </c>
      <c r="J460" s="26" t="s">
        <v>2754</v>
      </c>
      <c r="K460" s="26" t="s">
        <v>2755</v>
      </c>
      <c r="L460" s="26">
        <v>127</v>
      </c>
      <c r="M460" s="26" t="s">
        <v>2756</v>
      </c>
    </row>
    <row r="461" spans="1:13" ht="33.6" customHeight="1" x14ac:dyDescent="0.3">
      <c r="A461" s="25" t="s">
        <v>1816</v>
      </c>
      <c r="B461" s="25" t="s">
        <v>2901</v>
      </c>
      <c r="C461" s="25" t="s">
        <v>1494</v>
      </c>
      <c r="D461" s="25" t="s">
        <v>18</v>
      </c>
      <c r="E461" s="25" t="s">
        <v>260</v>
      </c>
      <c r="F461" s="25" t="s">
        <v>2768</v>
      </c>
      <c r="G461" s="25" t="s">
        <v>2769</v>
      </c>
      <c r="H461" s="25" t="s">
        <v>2901</v>
      </c>
      <c r="I461" s="25" t="s">
        <v>2815</v>
      </c>
      <c r="J461" s="26" t="s">
        <v>2754</v>
      </c>
      <c r="K461" s="26" t="s">
        <v>2755</v>
      </c>
      <c r="L461" s="26">
        <v>75</v>
      </c>
      <c r="M461" s="26" t="s">
        <v>2756</v>
      </c>
    </row>
    <row r="462" spans="1:13" ht="33.6" customHeight="1" x14ac:dyDescent="0.3">
      <c r="A462" s="25" t="s">
        <v>1816</v>
      </c>
      <c r="B462" s="25" t="s">
        <v>2901</v>
      </c>
      <c r="C462" s="25" t="s">
        <v>1494</v>
      </c>
      <c r="D462" s="25" t="s">
        <v>18</v>
      </c>
      <c r="E462" s="25" t="s">
        <v>66</v>
      </c>
      <c r="F462" s="25" t="s">
        <v>2751</v>
      </c>
      <c r="G462" s="25" t="s">
        <v>2773</v>
      </c>
      <c r="H462" s="25" t="s">
        <v>2901</v>
      </c>
      <c r="I462" s="25" t="s">
        <v>2774</v>
      </c>
      <c r="J462" s="26" t="s">
        <v>2754</v>
      </c>
      <c r="K462" s="26" t="s">
        <v>2755</v>
      </c>
      <c r="L462" s="26">
        <v>123</v>
      </c>
      <c r="M462" s="26" t="s">
        <v>2756</v>
      </c>
    </row>
    <row r="463" spans="1:13" ht="33.6" customHeight="1" x14ac:dyDescent="0.3">
      <c r="A463" s="25" t="s">
        <v>1816</v>
      </c>
      <c r="B463" s="25" t="s">
        <v>2901</v>
      </c>
      <c r="C463" s="25" t="s">
        <v>1494</v>
      </c>
      <c r="D463" s="25" t="s">
        <v>18</v>
      </c>
      <c r="E463" s="25" t="s">
        <v>66</v>
      </c>
      <c r="F463" s="25" t="s">
        <v>2751</v>
      </c>
      <c r="G463" s="25" t="s">
        <v>2775</v>
      </c>
      <c r="H463" s="25" t="s">
        <v>2901</v>
      </c>
      <c r="I463" s="25" t="s">
        <v>2776</v>
      </c>
      <c r="J463" s="26" t="s">
        <v>2754</v>
      </c>
      <c r="K463" s="26" t="s">
        <v>2755</v>
      </c>
      <c r="L463" s="26">
        <v>123</v>
      </c>
      <c r="M463" s="26" t="s">
        <v>2756</v>
      </c>
    </row>
    <row r="464" spans="1:13" ht="33.6" customHeight="1" x14ac:dyDescent="0.3">
      <c r="A464" s="25" t="s">
        <v>1816</v>
      </c>
      <c r="B464" s="25" t="s">
        <v>2901</v>
      </c>
      <c r="C464" s="25" t="s">
        <v>1494</v>
      </c>
      <c r="D464" s="25" t="s">
        <v>18</v>
      </c>
      <c r="E464" s="25" t="s">
        <v>127</v>
      </c>
      <c r="F464" s="25" t="s">
        <v>2757</v>
      </c>
      <c r="G464" s="25" t="s">
        <v>2758</v>
      </c>
      <c r="H464" s="25" t="s">
        <v>2901</v>
      </c>
      <c r="I464" s="25" t="s">
        <v>2779</v>
      </c>
      <c r="J464" s="26" t="s">
        <v>2754</v>
      </c>
      <c r="K464" s="26" t="s">
        <v>2755</v>
      </c>
      <c r="L464" s="26">
        <v>127</v>
      </c>
      <c r="M464" s="26" t="s">
        <v>2756</v>
      </c>
    </row>
    <row r="465" spans="1:13" ht="33.6" customHeight="1" x14ac:dyDescent="0.3">
      <c r="A465" s="25" t="s">
        <v>1820</v>
      </c>
      <c r="B465" s="25" t="s">
        <v>2902</v>
      </c>
      <c r="C465" s="25" t="s">
        <v>1494</v>
      </c>
      <c r="D465" s="25" t="s">
        <v>18</v>
      </c>
      <c r="E465" s="25" t="s">
        <v>260</v>
      </c>
      <c r="F465" s="25" t="s">
        <v>2768</v>
      </c>
      <c r="G465" s="25" t="s">
        <v>2769</v>
      </c>
      <c r="H465" s="25" t="s">
        <v>2902</v>
      </c>
      <c r="I465" s="25" t="s">
        <v>2815</v>
      </c>
      <c r="J465" s="26" t="s">
        <v>2754</v>
      </c>
      <c r="K465" s="26" t="s">
        <v>2755</v>
      </c>
      <c r="L465" s="26">
        <v>75</v>
      </c>
      <c r="M465" s="26" t="s">
        <v>2756</v>
      </c>
    </row>
    <row r="466" spans="1:13" ht="33.6" customHeight="1" x14ac:dyDescent="0.3">
      <c r="A466" s="25" t="s">
        <v>1820</v>
      </c>
      <c r="B466" s="25" t="s">
        <v>2902</v>
      </c>
      <c r="C466" s="25" t="s">
        <v>1494</v>
      </c>
      <c r="D466" s="25" t="s">
        <v>18</v>
      </c>
      <c r="E466" s="25" t="s">
        <v>66</v>
      </c>
      <c r="F466" s="25" t="s">
        <v>2751</v>
      </c>
      <c r="G466" s="25" t="s">
        <v>2775</v>
      </c>
      <c r="H466" s="25" t="s">
        <v>2902</v>
      </c>
      <c r="I466" s="25" t="s">
        <v>2806</v>
      </c>
      <c r="J466" s="26" t="s">
        <v>2754</v>
      </c>
      <c r="K466" s="26" t="s">
        <v>2755</v>
      </c>
      <c r="L466" s="26">
        <v>123</v>
      </c>
      <c r="M466" s="26" t="s">
        <v>2756</v>
      </c>
    </row>
    <row r="467" spans="1:13" ht="33.6" customHeight="1" x14ac:dyDescent="0.3">
      <c r="A467" s="25" t="s">
        <v>1820</v>
      </c>
      <c r="B467" s="25" t="s">
        <v>2902</v>
      </c>
      <c r="C467" s="25" t="s">
        <v>1494</v>
      </c>
      <c r="D467" s="25" t="s">
        <v>18</v>
      </c>
      <c r="E467" s="25" t="s">
        <v>127</v>
      </c>
      <c r="F467" s="25" t="s">
        <v>2757</v>
      </c>
      <c r="G467" s="25" t="s">
        <v>2758</v>
      </c>
      <c r="H467" s="25" t="s">
        <v>2902</v>
      </c>
      <c r="I467" s="25" t="s">
        <v>2779</v>
      </c>
      <c r="J467" s="26" t="s">
        <v>2754</v>
      </c>
      <c r="K467" s="26" t="s">
        <v>2755</v>
      </c>
      <c r="L467" s="26">
        <v>127</v>
      </c>
      <c r="M467" s="26" t="s">
        <v>2756</v>
      </c>
    </row>
    <row r="468" spans="1:13" ht="33.6" customHeight="1" x14ac:dyDescent="0.3">
      <c r="A468" s="25" t="s">
        <v>1826</v>
      </c>
      <c r="B468" s="25" t="s">
        <v>1827</v>
      </c>
      <c r="C468" s="25" t="s">
        <v>1494</v>
      </c>
      <c r="D468" s="25" t="s">
        <v>18</v>
      </c>
      <c r="E468" s="25" t="s">
        <v>51</v>
      </c>
      <c r="F468" s="25" t="s">
        <v>2809</v>
      </c>
      <c r="G468" s="25" t="s">
        <v>2810</v>
      </c>
      <c r="H468" s="25" t="s">
        <v>1827</v>
      </c>
      <c r="I468" s="25" t="s">
        <v>2867</v>
      </c>
      <c r="J468" s="26" t="s">
        <v>2754</v>
      </c>
      <c r="K468" s="26" t="s">
        <v>2755</v>
      </c>
      <c r="L468" s="26">
        <v>21</v>
      </c>
      <c r="M468" s="26" t="s">
        <v>2756</v>
      </c>
    </row>
    <row r="469" spans="1:13" ht="33.6" customHeight="1" x14ac:dyDescent="0.3">
      <c r="A469" s="25" t="s">
        <v>1826</v>
      </c>
      <c r="B469" s="25" t="s">
        <v>1827</v>
      </c>
      <c r="C469" s="25" t="s">
        <v>1494</v>
      </c>
      <c r="D469" s="25" t="s">
        <v>18</v>
      </c>
      <c r="E469" s="25" t="s">
        <v>51</v>
      </c>
      <c r="F469" s="25" t="s">
        <v>2809</v>
      </c>
      <c r="G469" s="25" t="s">
        <v>2844</v>
      </c>
      <c r="H469" s="25" t="s">
        <v>1827</v>
      </c>
      <c r="I469" s="25" t="s">
        <v>2845</v>
      </c>
      <c r="J469" s="26" t="s">
        <v>2754</v>
      </c>
      <c r="K469" s="26" t="s">
        <v>2755</v>
      </c>
      <c r="L469" s="26">
        <v>21</v>
      </c>
      <c r="M469" s="26" t="s">
        <v>2756</v>
      </c>
    </row>
    <row r="470" spans="1:13" ht="33.6" customHeight="1" x14ac:dyDescent="0.3">
      <c r="A470" s="25" t="s">
        <v>1826</v>
      </c>
      <c r="B470" s="25" t="s">
        <v>1827</v>
      </c>
      <c r="C470" s="25" t="s">
        <v>1494</v>
      </c>
      <c r="D470" s="25" t="s">
        <v>18</v>
      </c>
      <c r="E470" s="25" t="s">
        <v>127</v>
      </c>
      <c r="F470" s="25" t="s">
        <v>2757</v>
      </c>
      <c r="G470" s="25" t="s">
        <v>2812</v>
      </c>
      <c r="H470" s="25" t="s">
        <v>1827</v>
      </c>
      <c r="I470" s="25" t="s">
        <v>2813</v>
      </c>
      <c r="J470" s="26" t="s">
        <v>2754</v>
      </c>
      <c r="K470" s="26" t="s">
        <v>2755</v>
      </c>
      <c r="L470" s="26">
        <v>127</v>
      </c>
      <c r="M470" s="26" t="s">
        <v>2756</v>
      </c>
    </row>
    <row r="471" spans="1:13" ht="33.6" customHeight="1" x14ac:dyDescent="0.3">
      <c r="A471" s="25" t="s">
        <v>1832</v>
      </c>
      <c r="B471" s="25" t="s">
        <v>2903</v>
      </c>
      <c r="C471" s="25" t="s">
        <v>1494</v>
      </c>
      <c r="D471" s="25" t="s">
        <v>18</v>
      </c>
      <c r="E471" s="25" t="s">
        <v>51</v>
      </c>
      <c r="F471" s="25" t="s">
        <v>2809</v>
      </c>
      <c r="G471" s="25" t="s">
        <v>2879</v>
      </c>
      <c r="H471" s="25" t="s">
        <v>2903</v>
      </c>
      <c r="I471" s="25" t="s">
        <v>2880</v>
      </c>
      <c r="J471" s="26" t="s">
        <v>2754</v>
      </c>
      <c r="K471" s="26" t="s">
        <v>2755</v>
      </c>
      <c r="L471" s="26">
        <v>21</v>
      </c>
      <c r="M471" s="26" t="s">
        <v>2756</v>
      </c>
    </row>
    <row r="472" spans="1:13" ht="33.6" customHeight="1" x14ac:dyDescent="0.3">
      <c r="A472" s="25" t="s">
        <v>1832</v>
      </c>
      <c r="B472" s="25" t="s">
        <v>2903</v>
      </c>
      <c r="C472" s="25" t="s">
        <v>1494</v>
      </c>
      <c r="D472" s="25" t="s">
        <v>18</v>
      </c>
      <c r="E472" s="25" t="s">
        <v>66</v>
      </c>
      <c r="F472" s="25" t="s">
        <v>2751</v>
      </c>
      <c r="G472" s="25" t="s">
        <v>2773</v>
      </c>
      <c r="H472" s="25" t="s">
        <v>2903</v>
      </c>
      <c r="I472" s="25" t="s">
        <v>2774</v>
      </c>
      <c r="J472" s="26" t="s">
        <v>2754</v>
      </c>
      <c r="K472" s="26" t="s">
        <v>2755</v>
      </c>
      <c r="L472" s="26">
        <v>123</v>
      </c>
      <c r="M472" s="26" t="s">
        <v>2756</v>
      </c>
    </row>
    <row r="473" spans="1:13" ht="33.6" customHeight="1" x14ac:dyDescent="0.3">
      <c r="A473" s="25" t="s">
        <v>1832</v>
      </c>
      <c r="B473" s="25" t="s">
        <v>2903</v>
      </c>
      <c r="C473" s="25" t="s">
        <v>1494</v>
      </c>
      <c r="D473" s="25" t="s">
        <v>18</v>
      </c>
      <c r="E473" s="25" t="s">
        <v>66</v>
      </c>
      <c r="F473" s="25" t="s">
        <v>2751</v>
      </c>
      <c r="G473" s="25" t="s">
        <v>2775</v>
      </c>
      <c r="H473" s="25" t="s">
        <v>2903</v>
      </c>
      <c r="I473" s="25" t="s">
        <v>2776</v>
      </c>
      <c r="J473" s="26" t="s">
        <v>2754</v>
      </c>
      <c r="K473" s="26" t="s">
        <v>2755</v>
      </c>
      <c r="L473" s="26">
        <v>123</v>
      </c>
      <c r="M473" s="26" t="s">
        <v>2756</v>
      </c>
    </row>
    <row r="474" spans="1:13" ht="33.6" customHeight="1" x14ac:dyDescent="0.3">
      <c r="A474" s="25" t="s">
        <v>1832</v>
      </c>
      <c r="B474" s="25" t="s">
        <v>2903</v>
      </c>
      <c r="C474" s="25" t="s">
        <v>1494</v>
      </c>
      <c r="D474" s="25" t="s">
        <v>18</v>
      </c>
      <c r="E474" s="25" t="s">
        <v>66</v>
      </c>
      <c r="F474" s="25" t="s">
        <v>2751</v>
      </c>
      <c r="G474" s="25" t="s">
        <v>2777</v>
      </c>
      <c r="H474" s="25" t="s">
        <v>2903</v>
      </c>
      <c r="I474" s="25" t="s">
        <v>2778</v>
      </c>
      <c r="J474" s="26" t="s">
        <v>2754</v>
      </c>
      <c r="K474" s="26" t="s">
        <v>2755</v>
      </c>
      <c r="L474" s="26">
        <v>123</v>
      </c>
      <c r="M474" s="26" t="s">
        <v>2756</v>
      </c>
    </row>
    <row r="475" spans="1:13" ht="33.6" customHeight="1" x14ac:dyDescent="0.3">
      <c r="A475" s="25" t="s">
        <v>1841</v>
      </c>
      <c r="B475" s="25" t="s">
        <v>2904</v>
      </c>
      <c r="C475" s="25" t="s">
        <v>1494</v>
      </c>
      <c r="D475" s="25" t="s">
        <v>18</v>
      </c>
      <c r="E475" s="25" t="s">
        <v>260</v>
      </c>
      <c r="F475" s="25" t="s">
        <v>2768</v>
      </c>
      <c r="G475" s="25" t="s">
        <v>2769</v>
      </c>
      <c r="H475" s="25" t="s">
        <v>2904</v>
      </c>
      <c r="I475" s="25" t="s">
        <v>2815</v>
      </c>
      <c r="J475" s="26" t="s">
        <v>2754</v>
      </c>
      <c r="K475" s="26" t="s">
        <v>2755</v>
      </c>
      <c r="L475" s="26">
        <v>75</v>
      </c>
      <c r="M475" s="26" t="s">
        <v>2756</v>
      </c>
    </row>
    <row r="476" spans="1:13" ht="33.6" customHeight="1" x14ac:dyDescent="0.3">
      <c r="A476" s="25" t="s">
        <v>1841</v>
      </c>
      <c r="B476" s="25" t="s">
        <v>2904</v>
      </c>
      <c r="C476" s="25" t="s">
        <v>1494</v>
      </c>
      <c r="D476" s="25" t="s">
        <v>18</v>
      </c>
      <c r="E476" s="25" t="s">
        <v>66</v>
      </c>
      <c r="F476" s="25" t="s">
        <v>2751</v>
      </c>
      <c r="G476" s="25" t="s">
        <v>2775</v>
      </c>
      <c r="H476" s="25" t="s">
        <v>2904</v>
      </c>
      <c r="I476" s="25" t="s">
        <v>2776</v>
      </c>
      <c r="J476" s="26" t="s">
        <v>2754</v>
      </c>
      <c r="K476" s="26" t="s">
        <v>2755</v>
      </c>
      <c r="L476" s="26">
        <v>123</v>
      </c>
      <c r="M476" s="26" t="s">
        <v>2756</v>
      </c>
    </row>
    <row r="477" spans="1:13" ht="33.6" customHeight="1" x14ac:dyDescent="0.3">
      <c r="A477" s="25" t="s">
        <v>1869</v>
      </c>
      <c r="B477" s="25" t="s">
        <v>2905</v>
      </c>
      <c r="C477" s="25" t="s">
        <v>1494</v>
      </c>
      <c r="D477" s="25" t="s">
        <v>18</v>
      </c>
      <c r="E477" s="25" t="s">
        <v>51</v>
      </c>
      <c r="F477" s="25" t="s">
        <v>2809</v>
      </c>
      <c r="G477" s="25" t="s">
        <v>2810</v>
      </c>
      <c r="H477" s="25" t="s">
        <v>2905</v>
      </c>
      <c r="I477" s="25" t="s">
        <v>2811</v>
      </c>
      <c r="J477" s="26" t="s">
        <v>2754</v>
      </c>
      <c r="K477" s="26" t="s">
        <v>2755</v>
      </c>
      <c r="L477" s="26">
        <v>21</v>
      </c>
      <c r="M477" s="26" t="s">
        <v>2756</v>
      </c>
    </row>
    <row r="478" spans="1:13" ht="33.6" customHeight="1" x14ac:dyDescent="0.3">
      <c r="A478" s="25" t="s">
        <v>1869</v>
      </c>
      <c r="B478" s="25" t="s">
        <v>2905</v>
      </c>
      <c r="C478" s="25" t="s">
        <v>1494</v>
      </c>
      <c r="D478" s="25" t="s">
        <v>18</v>
      </c>
      <c r="E478" s="25" t="s">
        <v>127</v>
      </c>
      <c r="F478" s="25" t="s">
        <v>2757</v>
      </c>
      <c r="G478" s="25" t="s">
        <v>2758</v>
      </c>
      <c r="H478" s="25" t="s">
        <v>2905</v>
      </c>
      <c r="I478" s="25" t="s">
        <v>2779</v>
      </c>
      <c r="J478" s="26" t="s">
        <v>2754</v>
      </c>
      <c r="K478" s="26" t="s">
        <v>2755</v>
      </c>
      <c r="L478" s="26">
        <v>127</v>
      </c>
      <c r="M478" s="26" t="s">
        <v>2756</v>
      </c>
    </row>
    <row r="479" spans="1:13" ht="33.6" customHeight="1" x14ac:dyDescent="0.3">
      <c r="A479" s="25" t="s">
        <v>1873</v>
      </c>
      <c r="B479" s="25" t="s">
        <v>1874</v>
      </c>
      <c r="C479" s="25" t="s">
        <v>1494</v>
      </c>
      <c r="D479" s="25" t="s">
        <v>18</v>
      </c>
      <c r="E479" s="25" t="s">
        <v>260</v>
      </c>
      <c r="F479" s="25" t="s">
        <v>2768</v>
      </c>
      <c r="G479" s="25" t="s">
        <v>2769</v>
      </c>
      <c r="H479" s="25" t="s">
        <v>1874</v>
      </c>
      <c r="I479" s="25" t="s">
        <v>2815</v>
      </c>
      <c r="J479" s="26" t="s">
        <v>2754</v>
      </c>
      <c r="K479" s="26" t="s">
        <v>2755</v>
      </c>
      <c r="L479" s="26">
        <v>75</v>
      </c>
      <c r="M479" s="26" t="s">
        <v>2756</v>
      </c>
    </row>
    <row r="480" spans="1:13" ht="33.6" customHeight="1" x14ac:dyDescent="0.3">
      <c r="A480" s="25" t="s">
        <v>1879</v>
      </c>
      <c r="B480" s="25" t="s">
        <v>2906</v>
      </c>
      <c r="C480" s="25" t="s">
        <v>1494</v>
      </c>
      <c r="D480" s="25" t="s">
        <v>18</v>
      </c>
      <c r="E480" s="25" t="s">
        <v>210</v>
      </c>
      <c r="F480" s="25" t="s">
        <v>2765</v>
      </c>
      <c r="G480" s="25" t="s">
        <v>2818</v>
      </c>
      <c r="H480" s="25" t="s">
        <v>2906</v>
      </c>
      <c r="I480" s="25" t="s">
        <v>2819</v>
      </c>
      <c r="J480" s="26" t="s">
        <v>2754</v>
      </c>
      <c r="K480" s="26" t="s">
        <v>2755</v>
      </c>
      <c r="L480" s="26">
        <v>38</v>
      </c>
      <c r="M480" s="26" t="s">
        <v>2756</v>
      </c>
    </row>
    <row r="481" spans="1:13" ht="33.6" customHeight="1" x14ac:dyDescent="0.3">
      <c r="A481" s="25" t="s">
        <v>1879</v>
      </c>
      <c r="B481" s="25" t="s">
        <v>2906</v>
      </c>
      <c r="C481" s="25" t="s">
        <v>1494</v>
      </c>
      <c r="D481" s="25" t="s">
        <v>18</v>
      </c>
      <c r="E481" s="25" t="s">
        <v>210</v>
      </c>
      <c r="F481" s="25" t="s">
        <v>2765</v>
      </c>
      <c r="G481" s="25" t="s">
        <v>2780</v>
      </c>
      <c r="H481" s="25" t="s">
        <v>2906</v>
      </c>
      <c r="I481" s="25" t="s">
        <v>2781</v>
      </c>
      <c r="J481" s="26" t="s">
        <v>2754</v>
      </c>
      <c r="K481" s="26" t="s">
        <v>2755</v>
      </c>
      <c r="L481" s="26">
        <v>38</v>
      </c>
      <c r="M481" s="26" t="s">
        <v>2756</v>
      </c>
    </row>
    <row r="482" spans="1:13" ht="33.6" customHeight="1" x14ac:dyDescent="0.3">
      <c r="A482" s="25" t="s">
        <v>1879</v>
      </c>
      <c r="B482" s="25" t="s">
        <v>2906</v>
      </c>
      <c r="C482" s="25" t="s">
        <v>1494</v>
      </c>
      <c r="D482" s="25" t="s">
        <v>18</v>
      </c>
      <c r="E482" s="25" t="s">
        <v>210</v>
      </c>
      <c r="F482" s="25" t="s">
        <v>2765</v>
      </c>
      <c r="G482" s="25" t="s">
        <v>2766</v>
      </c>
      <c r="H482" s="25" t="s">
        <v>2906</v>
      </c>
      <c r="I482" s="25" t="s">
        <v>2767</v>
      </c>
      <c r="J482" s="26" t="s">
        <v>2754</v>
      </c>
      <c r="K482" s="26" t="s">
        <v>2755</v>
      </c>
      <c r="L482" s="26">
        <v>38</v>
      </c>
      <c r="M482" s="26" t="s">
        <v>2756</v>
      </c>
    </row>
    <row r="483" spans="1:13" ht="33.6" customHeight="1" x14ac:dyDescent="0.3">
      <c r="A483" s="25" t="s">
        <v>1879</v>
      </c>
      <c r="B483" s="25" t="s">
        <v>2906</v>
      </c>
      <c r="C483" s="25" t="s">
        <v>1494</v>
      </c>
      <c r="D483" s="25" t="s">
        <v>18</v>
      </c>
      <c r="E483" s="25" t="s">
        <v>66</v>
      </c>
      <c r="F483" s="25" t="s">
        <v>2751</v>
      </c>
      <c r="G483" s="25" t="s">
        <v>2773</v>
      </c>
      <c r="H483" s="25" t="s">
        <v>2906</v>
      </c>
      <c r="I483" s="25" t="s">
        <v>2774</v>
      </c>
      <c r="J483" s="26" t="s">
        <v>2754</v>
      </c>
      <c r="K483" s="26" t="s">
        <v>2755</v>
      </c>
      <c r="L483" s="26">
        <v>123</v>
      </c>
      <c r="M483" s="26" t="s">
        <v>2756</v>
      </c>
    </row>
    <row r="484" spans="1:13" ht="33.6" customHeight="1" x14ac:dyDescent="0.3">
      <c r="A484" s="25" t="s">
        <v>1879</v>
      </c>
      <c r="B484" s="25" t="s">
        <v>2906</v>
      </c>
      <c r="C484" s="25" t="s">
        <v>1494</v>
      </c>
      <c r="D484" s="25" t="s">
        <v>18</v>
      </c>
      <c r="E484" s="25" t="s">
        <v>66</v>
      </c>
      <c r="F484" s="25" t="s">
        <v>2751</v>
      </c>
      <c r="G484" s="25" t="s">
        <v>2775</v>
      </c>
      <c r="H484" s="25" t="s">
        <v>2906</v>
      </c>
      <c r="I484" s="25" t="s">
        <v>2776</v>
      </c>
      <c r="J484" s="26" t="s">
        <v>2754</v>
      </c>
      <c r="K484" s="26" t="s">
        <v>2755</v>
      </c>
      <c r="L484" s="26">
        <v>123</v>
      </c>
      <c r="M484" s="26" t="s">
        <v>2756</v>
      </c>
    </row>
    <row r="485" spans="1:13" ht="33.6" customHeight="1" x14ac:dyDescent="0.3">
      <c r="A485" s="25" t="s">
        <v>1879</v>
      </c>
      <c r="B485" s="25" t="s">
        <v>2906</v>
      </c>
      <c r="C485" s="25" t="s">
        <v>1494</v>
      </c>
      <c r="D485" s="25" t="s">
        <v>18</v>
      </c>
      <c r="E485" s="25" t="s">
        <v>66</v>
      </c>
      <c r="F485" s="25" t="s">
        <v>2751</v>
      </c>
      <c r="G485" s="25" t="s">
        <v>2777</v>
      </c>
      <c r="H485" s="25" t="s">
        <v>2906</v>
      </c>
      <c r="I485" s="25" t="s">
        <v>2778</v>
      </c>
      <c r="J485" s="26" t="s">
        <v>2754</v>
      </c>
      <c r="K485" s="26" t="s">
        <v>2755</v>
      </c>
      <c r="L485" s="26">
        <v>123</v>
      </c>
      <c r="M485" s="26" t="s">
        <v>2756</v>
      </c>
    </row>
    <row r="486" spans="1:13" ht="33.6" customHeight="1" x14ac:dyDescent="0.3">
      <c r="A486" s="25" t="s">
        <v>1879</v>
      </c>
      <c r="B486" s="25" t="s">
        <v>2906</v>
      </c>
      <c r="C486" s="25" t="s">
        <v>1494</v>
      </c>
      <c r="D486" s="25" t="s">
        <v>18</v>
      </c>
      <c r="E486" s="25" t="s">
        <v>127</v>
      </c>
      <c r="F486" s="25" t="s">
        <v>2757</v>
      </c>
      <c r="G486" s="25" t="s">
        <v>2792</v>
      </c>
      <c r="H486" s="25" t="s">
        <v>2906</v>
      </c>
      <c r="I486" s="25" t="s">
        <v>2793</v>
      </c>
      <c r="J486" s="26" t="s">
        <v>2754</v>
      </c>
      <c r="K486" s="26" t="s">
        <v>2755</v>
      </c>
      <c r="L486" s="26">
        <v>127</v>
      </c>
      <c r="M486" s="26" t="s">
        <v>2756</v>
      </c>
    </row>
    <row r="487" spans="1:13" ht="33.6" customHeight="1" x14ac:dyDescent="0.3">
      <c r="A487" s="25" t="s">
        <v>1879</v>
      </c>
      <c r="B487" s="25" t="s">
        <v>2906</v>
      </c>
      <c r="C487" s="25" t="s">
        <v>1494</v>
      </c>
      <c r="D487" s="25" t="s">
        <v>18</v>
      </c>
      <c r="E487" s="25" t="s">
        <v>127</v>
      </c>
      <c r="F487" s="25" t="s">
        <v>2757</v>
      </c>
      <c r="G487" s="25" t="s">
        <v>2758</v>
      </c>
      <c r="H487" s="25" t="s">
        <v>2906</v>
      </c>
      <c r="I487" s="25" t="s">
        <v>2759</v>
      </c>
      <c r="J487" s="26" t="s">
        <v>2754</v>
      </c>
      <c r="K487" s="26" t="s">
        <v>2755</v>
      </c>
      <c r="L487" s="26">
        <v>127</v>
      </c>
      <c r="M487" s="26" t="s">
        <v>2756</v>
      </c>
    </row>
    <row r="488" spans="1:13" ht="33.6" customHeight="1" x14ac:dyDescent="0.3">
      <c r="A488" s="25" t="s">
        <v>1885</v>
      </c>
      <c r="B488" s="25" t="s">
        <v>2907</v>
      </c>
      <c r="C488" s="25" t="s">
        <v>1494</v>
      </c>
      <c r="D488" s="25" t="s">
        <v>18</v>
      </c>
      <c r="E488" s="25" t="s">
        <v>260</v>
      </c>
      <c r="F488" s="25" t="s">
        <v>2768</v>
      </c>
      <c r="G488" s="25" t="s">
        <v>2769</v>
      </c>
      <c r="H488" s="25" t="s">
        <v>2907</v>
      </c>
      <c r="I488" s="25" t="s">
        <v>2815</v>
      </c>
      <c r="J488" s="26" t="s">
        <v>2754</v>
      </c>
      <c r="K488" s="26" t="s">
        <v>2755</v>
      </c>
      <c r="L488" s="26">
        <v>75</v>
      </c>
      <c r="M488" s="26" t="s">
        <v>2756</v>
      </c>
    </row>
    <row r="489" spans="1:13" ht="33.6" customHeight="1" x14ac:dyDescent="0.3">
      <c r="A489" s="25" t="s">
        <v>1885</v>
      </c>
      <c r="B489" s="25" t="s">
        <v>2907</v>
      </c>
      <c r="C489" s="25" t="s">
        <v>1494</v>
      </c>
      <c r="D489" s="25" t="s">
        <v>18</v>
      </c>
      <c r="E489" s="25" t="s">
        <v>66</v>
      </c>
      <c r="F489" s="25" t="s">
        <v>2751</v>
      </c>
      <c r="G489" s="25" t="s">
        <v>2773</v>
      </c>
      <c r="H489" s="25" t="s">
        <v>2907</v>
      </c>
      <c r="I489" s="25" t="s">
        <v>2774</v>
      </c>
      <c r="J489" s="26" t="s">
        <v>2754</v>
      </c>
      <c r="K489" s="26" t="s">
        <v>2755</v>
      </c>
      <c r="L489" s="26">
        <v>123</v>
      </c>
      <c r="M489" s="26" t="s">
        <v>2756</v>
      </c>
    </row>
    <row r="490" spans="1:13" ht="33.6" customHeight="1" x14ac:dyDescent="0.3">
      <c r="A490" s="25" t="s">
        <v>1885</v>
      </c>
      <c r="B490" s="25" t="s">
        <v>2907</v>
      </c>
      <c r="C490" s="25" t="s">
        <v>1494</v>
      </c>
      <c r="D490" s="25" t="s">
        <v>18</v>
      </c>
      <c r="E490" s="25" t="s">
        <v>127</v>
      </c>
      <c r="F490" s="25" t="s">
        <v>2757</v>
      </c>
      <c r="G490" s="25" t="s">
        <v>2758</v>
      </c>
      <c r="H490" s="25" t="s">
        <v>2907</v>
      </c>
      <c r="I490" s="25" t="s">
        <v>2779</v>
      </c>
      <c r="J490" s="26" t="s">
        <v>2754</v>
      </c>
      <c r="K490" s="26" t="s">
        <v>2755</v>
      </c>
      <c r="L490" s="26">
        <v>127</v>
      </c>
      <c r="M490" s="26" t="s">
        <v>2756</v>
      </c>
    </row>
    <row r="491" spans="1:13" ht="33.6" customHeight="1" x14ac:dyDescent="0.3">
      <c r="A491" s="25" t="s">
        <v>1889</v>
      </c>
      <c r="B491" s="25" t="s">
        <v>1890</v>
      </c>
      <c r="C491" s="25" t="s">
        <v>1494</v>
      </c>
      <c r="D491" s="25" t="s">
        <v>18</v>
      </c>
      <c r="E491" s="25" t="s">
        <v>260</v>
      </c>
      <c r="F491" s="25" t="s">
        <v>2768</v>
      </c>
      <c r="G491" s="25" t="s">
        <v>2769</v>
      </c>
      <c r="H491" s="25" t="s">
        <v>1890</v>
      </c>
      <c r="I491" s="25" t="s">
        <v>2770</v>
      </c>
      <c r="J491" s="26" t="s">
        <v>2754</v>
      </c>
      <c r="K491" s="26" t="s">
        <v>2755</v>
      </c>
      <c r="L491" s="26">
        <v>75</v>
      </c>
      <c r="M491" s="26" t="s">
        <v>2756</v>
      </c>
    </row>
    <row r="492" spans="1:13" ht="33.6" customHeight="1" x14ac:dyDescent="0.3">
      <c r="A492" s="25" t="s">
        <v>1889</v>
      </c>
      <c r="B492" s="25" t="s">
        <v>1890</v>
      </c>
      <c r="C492" s="25" t="s">
        <v>1494</v>
      </c>
      <c r="D492" s="25" t="s">
        <v>18</v>
      </c>
      <c r="E492" s="25" t="s">
        <v>260</v>
      </c>
      <c r="F492" s="25" t="s">
        <v>2768</v>
      </c>
      <c r="G492" s="25" t="s">
        <v>2788</v>
      </c>
      <c r="H492" s="25" t="s">
        <v>1890</v>
      </c>
      <c r="I492" s="25" t="s">
        <v>2789</v>
      </c>
      <c r="J492" s="26" t="s">
        <v>2754</v>
      </c>
      <c r="K492" s="26" t="s">
        <v>2755</v>
      </c>
      <c r="L492" s="26">
        <v>75</v>
      </c>
      <c r="M492" s="26" t="s">
        <v>2756</v>
      </c>
    </row>
    <row r="493" spans="1:13" ht="33.6" customHeight="1" x14ac:dyDescent="0.3">
      <c r="A493" s="25" t="s">
        <v>1889</v>
      </c>
      <c r="B493" s="25" t="s">
        <v>1890</v>
      </c>
      <c r="C493" s="25" t="s">
        <v>1494</v>
      </c>
      <c r="D493" s="25" t="s">
        <v>18</v>
      </c>
      <c r="E493" s="25" t="s">
        <v>127</v>
      </c>
      <c r="F493" s="25" t="s">
        <v>2757</v>
      </c>
      <c r="G493" s="25" t="s">
        <v>2758</v>
      </c>
      <c r="H493" s="25" t="s">
        <v>1890</v>
      </c>
      <c r="I493" s="25" t="s">
        <v>2779</v>
      </c>
      <c r="J493" s="26" t="s">
        <v>2754</v>
      </c>
      <c r="K493" s="26" t="s">
        <v>2755</v>
      </c>
      <c r="L493" s="26">
        <v>127</v>
      </c>
      <c r="M493" s="26" t="s">
        <v>2756</v>
      </c>
    </row>
    <row r="494" spans="1:13" ht="33.6" customHeight="1" x14ac:dyDescent="0.3">
      <c r="A494" s="25" t="s">
        <v>1893</v>
      </c>
      <c r="B494" s="25" t="s">
        <v>2908</v>
      </c>
      <c r="C494" s="25" t="s">
        <v>1494</v>
      </c>
      <c r="D494" s="25" t="s">
        <v>18</v>
      </c>
      <c r="E494" s="25" t="s">
        <v>51</v>
      </c>
      <c r="F494" s="25" t="s">
        <v>2809</v>
      </c>
      <c r="G494" s="25" t="s">
        <v>2879</v>
      </c>
      <c r="H494" s="25" t="s">
        <v>2908</v>
      </c>
      <c r="I494" s="25" t="s">
        <v>2880</v>
      </c>
      <c r="J494" s="26" t="s">
        <v>2754</v>
      </c>
      <c r="K494" s="26" t="s">
        <v>2755</v>
      </c>
      <c r="L494" s="26">
        <v>21</v>
      </c>
      <c r="M494" s="26" t="s">
        <v>2756</v>
      </c>
    </row>
    <row r="495" spans="1:13" ht="33.6" customHeight="1" x14ac:dyDescent="0.3">
      <c r="A495" s="25" t="s">
        <v>1893</v>
      </c>
      <c r="B495" s="25" t="s">
        <v>2908</v>
      </c>
      <c r="C495" s="25" t="s">
        <v>1494</v>
      </c>
      <c r="D495" s="25" t="s">
        <v>18</v>
      </c>
      <c r="E495" s="25" t="s">
        <v>66</v>
      </c>
      <c r="F495" s="25" t="s">
        <v>2751</v>
      </c>
      <c r="G495" s="25" t="s">
        <v>2784</v>
      </c>
      <c r="H495" s="25" t="s">
        <v>2908</v>
      </c>
      <c r="I495" s="25" t="s">
        <v>2785</v>
      </c>
      <c r="J495" s="26" t="s">
        <v>2754</v>
      </c>
      <c r="K495" s="26" t="s">
        <v>2755</v>
      </c>
      <c r="L495" s="26">
        <v>123</v>
      </c>
      <c r="M495" s="26" t="s">
        <v>2756</v>
      </c>
    </row>
    <row r="496" spans="1:13" ht="33.6" customHeight="1" x14ac:dyDescent="0.3">
      <c r="A496" s="25" t="s">
        <v>1893</v>
      </c>
      <c r="B496" s="25" t="s">
        <v>2908</v>
      </c>
      <c r="C496" s="25" t="s">
        <v>1494</v>
      </c>
      <c r="D496" s="25" t="s">
        <v>18</v>
      </c>
      <c r="E496" s="25" t="s">
        <v>66</v>
      </c>
      <c r="F496" s="25" t="s">
        <v>2751</v>
      </c>
      <c r="G496" s="25" t="s">
        <v>2777</v>
      </c>
      <c r="H496" s="25" t="s">
        <v>2908</v>
      </c>
      <c r="I496" s="25" t="s">
        <v>2778</v>
      </c>
      <c r="J496" s="26" t="s">
        <v>2754</v>
      </c>
      <c r="K496" s="26" t="s">
        <v>2755</v>
      </c>
      <c r="L496" s="26">
        <v>123</v>
      </c>
      <c r="M496" s="26" t="s">
        <v>2756</v>
      </c>
    </row>
    <row r="497" spans="1:13" ht="33.6" customHeight="1" x14ac:dyDescent="0.3">
      <c r="A497" s="25" t="s">
        <v>1899</v>
      </c>
      <c r="B497" s="25" t="s">
        <v>2909</v>
      </c>
      <c r="C497" s="25" t="s">
        <v>1494</v>
      </c>
      <c r="D497" s="25" t="s">
        <v>18</v>
      </c>
      <c r="E497" s="25" t="s">
        <v>210</v>
      </c>
      <c r="F497" s="25" t="s">
        <v>2765</v>
      </c>
      <c r="G497" s="25" t="s">
        <v>2818</v>
      </c>
      <c r="H497" s="25" t="s">
        <v>2909</v>
      </c>
      <c r="I497" s="25" t="s">
        <v>2822</v>
      </c>
      <c r="J497" s="26" t="s">
        <v>2754</v>
      </c>
      <c r="K497" s="26" t="s">
        <v>2755</v>
      </c>
      <c r="L497" s="26">
        <v>38</v>
      </c>
      <c r="M497" s="26" t="s">
        <v>2756</v>
      </c>
    </row>
    <row r="498" spans="1:13" ht="33.6" customHeight="1" x14ac:dyDescent="0.3">
      <c r="A498" s="25" t="s">
        <v>1899</v>
      </c>
      <c r="B498" s="25" t="s">
        <v>2909</v>
      </c>
      <c r="C498" s="25" t="s">
        <v>1494</v>
      </c>
      <c r="D498" s="25" t="s">
        <v>18</v>
      </c>
      <c r="E498" s="25" t="s">
        <v>260</v>
      </c>
      <c r="F498" s="25" t="s">
        <v>2768</v>
      </c>
      <c r="G498" s="25" t="s">
        <v>2769</v>
      </c>
      <c r="H498" s="25" t="s">
        <v>2909</v>
      </c>
      <c r="I498" s="25" t="s">
        <v>2815</v>
      </c>
      <c r="J498" s="26" t="s">
        <v>2754</v>
      </c>
      <c r="K498" s="26" t="s">
        <v>2755</v>
      </c>
      <c r="L498" s="26">
        <v>75</v>
      </c>
      <c r="M498" s="26" t="s">
        <v>2756</v>
      </c>
    </row>
    <row r="499" spans="1:13" ht="33.6" customHeight="1" x14ac:dyDescent="0.3">
      <c r="A499" s="25" t="s">
        <v>1899</v>
      </c>
      <c r="B499" s="25" t="s">
        <v>2909</v>
      </c>
      <c r="C499" s="25" t="s">
        <v>1494</v>
      </c>
      <c r="D499" s="25" t="s">
        <v>18</v>
      </c>
      <c r="E499" s="25" t="s">
        <v>66</v>
      </c>
      <c r="F499" s="25" t="s">
        <v>2751</v>
      </c>
      <c r="G499" s="25" t="s">
        <v>2773</v>
      </c>
      <c r="H499" s="25" t="s">
        <v>2909</v>
      </c>
      <c r="I499" s="25" t="s">
        <v>2774</v>
      </c>
      <c r="J499" s="26" t="s">
        <v>2754</v>
      </c>
      <c r="K499" s="26" t="s">
        <v>2755</v>
      </c>
      <c r="L499" s="26">
        <v>123</v>
      </c>
      <c r="M499" s="26" t="s">
        <v>2756</v>
      </c>
    </row>
    <row r="500" spans="1:13" ht="33.6" customHeight="1" x14ac:dyDescent="0.3">
      <c r="A500" s="25" t="s">
        <v>1899</v>
      </c>
      <c r="B500" s="25" t="s">
        <v>2909</v>
      </c>
      <c r="C500" s="25" t="s">
        <v>1494</v>
      </c>
      <c r="D500" s="25" t="s">
        <v>18</v>
      </c>
      <c r="E500" s="25" t="s">
        <v>66</v>
      </c>
      <c r="F500" s="25" t="s">
        <v>2751</v>
      </c>
      <c r="G500" s="25" t="s">
        <v>2775</v>
      </c>
      <c r="H500" s="25" t="s">
        <v>2909</v>
      </c>
      <c r="I500" s="25" t="s">
        <v>2776</v>
      </c>
      <c r="J500" s="26" t="s">
        <v>2754</v>
      </c>
      <c r="K500" s="26" t="s">
        <v>2755</v>
      </c>
      <c r="L500" s="26">
        <v>123</v>
      </c>
      <c r="M500" s="26" t="s">
        <v>2756</v>
      </c>
    </row>
    <row r="501" spans="1:13" ht="33.6" customHeight="1" x14ac:dyDescent="0.3">
      <c r="A501" s="25" t="s">
        <v>1899</v>
      </c>
      <c r="B501" s="25" t="s">
        <v>2909</v>
      </c>
      <c r="C501" s="25" t="s">
        <v>1494</v>
      </c>
      <c r="D501" s="25" t="s">
        <v>18</v>
      </c>
      <c r="E501" s="25" t="s">
        <v>127</v>
      </c>
      <c r="F501" s="25" t="s">
        <v>2757</v>
      </c>
      <c r="G501" s="25" t="s">
        <v>2758</v>
      </c>
      <c r="H501" s="25" t="s">
        <v>2909</v>
      </c>
      <c r="I501" s="25" t="s">
        <v>2779</v>
      </c>
      <c r="J501" s="26" t="s">
        <v>2754</v>
      </c>
      <c r="K501" s="26" t="s">
        <v>2755</v>
      </c>
      <c r="L501" s="26">
        <v>127</v>
      </c>
      <c r="M501" s="26" t="s">
        <v>2756</v>
      </c>
    </row>
    <row r="502" spans="1:13" ht="33.6" customHeight="1" x14ac:dyDescent="0.3">
      <c r="A502" s="25" t="s">
        <v>1905</v>
      </c>
      <c r="B502" s="25" t="s">
        <v>1906</v>
      </c>
      <c r="C502" s="25" t="s">
        <v>1494</v>
      </c>
      <c r="D502" s="25" t="s">
        <v>18</v>
      </c>
      <c r="E502" s="25" t="s">
        <v>66</v>
      </c>
      <c r="F502" s="25" t="s">
        <v>2751</v>
      </c>
      <c r="G502" s="25" t="s">
        <v>2752</v>
      </c>
      <c r="H502" s="25" t="s">
        <v>1906</v>
      </c>
      <c r="I502" s="25" t="s">
        <v>2753</v>
      </c>
      <c r="J502" s="26" t="s">
        <v>2754</v>
      </c>
      <c r="K502" s="26" t="s">
        <v>2755</v>
      </c>
      <c r="L502" s="26">
        <v>123</v>
      </c>
      <c r="M502" s="26" t="s">
        <v>2756</v>
      </c>
    </row>
    <row r="503" spans="1:13" ht="33.6" customHeight="1" x14ac:dyDescent="0.3">
      <c r="A503" s="25" t="s">
        <v>1911</v>
      </c>
      <c r="B503" s="25" t="s">
        <v>2910</v>
      </c>
      <c r="C503" s="25" t="s">
        <v>1494</v>
      </c>
      <c r="D503" s="25" t="s">
        <v>18</v>
      </c>
      <c r="E503" s="25" t="s">
        <v>51</v>
      </c>
      <c r="F503" s="25" t="s">
        <v>2809</v>
      </c>
      <c r="G503" s="25" t="s">
        <v>2879</v>
      </c>
      <c r="H503" s="25" t="s">
        <v>2910</v>
      </c>
      <c r="I503" s="25" t="s">
        <v>2880</v>
      </c>
      <c r="J503" s="26" t="s">
        <v>2754</v>
      </c>
      <c r="K503" s="26" t="s">
        <v>2755</v>
      </c>
      <c r="L503" s="26">
        <v>21</v>
      </c>
      <c r="M503" s="26" t="s">
        <v>2756</v>
      </c>
    </row>
    <row r="504" spans="1:13" ht="33.6" customHeight="1" x14ac:dyDescent="0.3">
      <c r="A504" s="25" t="s">
        <v>1921</v>
      </c>
      <c r="B504" s="25" t="s">
        <v>2911</v>
      </c>
      <c r="C504" s="25" t="s">
        <v>1494</v>
      </c>
      <c r="D504" s="25" t="s">
        <v>18</v>
      </c>
      <c r="E504" s="25" t="s">
        <v>260</v>
      </c>
      <c r="F504" s="25" t="s">
        <v>2768</v>
      </c>
      <c r="G504" s="25" t="s">
        <v>2769</v>
      </c>
      <c r="H504" s="25" t="s">
        <v>2911</v>
      </c>
      <c r="I504" s="25" t="s">
        <v>2770</v>
      </c>
      <c r="J504" s="26" t="s">
        <v>2754</v>
      </c>
      <c r="K504" s="26" t="s">
        <v>2755</v>
      </c>
      <c r="L504" s="26">
        <v>75</v>
      </c>
      <c r="M504" s="26" t="s">
        <v>2756</v>
      </c>
    </row>
    <row r="505" spans="1:13" ht="33.6" customHeight="1" x14ac:dyDescent="0.3">
      <c r="A505" s="25" t="s">
        <v>1921</v>
      </c>
      <c r="B505" s="25" t="s">
        <v>2911</v>
      </c>
      <c r="C505" s="25" t="s">
        <v>1494</v>
      </c>
      <c r="D505" s="25" t="s">
        <v>18</v>
      </c>
      <c r="E505" s="25" t="s">
        <v>260</v>
      </c>
      <c r="F505" s="25" t="s">
        <v>2768</v>
      </c>
      <c r="G505" s="25" t="s">
        <v>2788</v>
      </c>
      <c r="H505" s="25" t="s">
        <v>2911</v>
      </c>
      <c r="I505" s="25" t="s">
        <v>2789</v>
      </c>
      <c r="J505" s="26" t="s">
        <v>2754</v>
      </c>
      <c r="K505" s="26" t="s">
        <v>2755</v>
      </c>
      <c r="L505" s="26">
        <v>75</v>
      </c>
      <c r="M505" s="26" t="s">
        <v>2756</v>
      </c>
    </row>
    <row r="506" spans="1:13" ht="33.6" customHeight="1" x14ac:dyDescent="0.3">
      <c r="A506" s="25" t="s">
        <v>1921</v>
      </c>
      <c r="B506" s="25" t="s">
        <v>2911</v>
      </c>
      <c r="C506" s="25" t="s">
        <v>1494</v>
      </c>
      <c r="D506" s="25" t="s">
        <v>18</v>
      </c>
      <c r="E506" s="25" t="s">
        <v>260</v>
      </c>
      <c r="F506" s="25" t="s">
        <v>2768</v>
      </c>
      <c r="G506" s="25" t="s">
        <v>2790</v>
      </c>
      <c r="H506" s="25" t="s">
        <v>2911</v>
      </c>
      <c r="I506" s="25" t="s">
        <v>2791</v>
      </c>
      <c r="J506" s="26" t="s">
        <v>2754</v>
      </c>
      <c r="K506" s="26" t="s">
        <v>2755</v>
      </c>
      <c r="L506" s="26">
        <v>75</v>
      </c>
      <c r="M506" s="26" t="s">
        <v>2756</v>
      </c>
    </row>
    <row r="507" spans="1:13" ht="33.6" customHeight="1" x14ac:dyDescent="0.3">
      <c r="A507" s="25" t="s">
        <v>1927</v>
      </c>
      <c r="B507" s="25" t="s">
        <v>2912</v>
      </c>
      <c r="C507" s="25" t="s">
        <v>1494</v>
      </c>
      <c r="D507" s="25" t="s">
        <v>18</v>
      </c>
      <c r="E507" s="25" t="s">
        <v>51</v>
      </c>
      <c r="F507" s="25" t="s">
        <v>2809</v>
      </c>
      <c r="G507" s="25" t="s">
        <v>2810</v>
      </c>
      <c r="H507" s="25" t="s">
        <v>2912</v>
      </c>
      <c r="I507" s="25" t="s">
        <v>2811</v>
      </c>
      <c r="J507" s="26" t="s">
        <v>2754</v>
      </c>
      <c r="K507" s="26" t="s">
        <v>2755</v>
      </c>
      <c r="L507" s="26">
        <v>21</v>
      </c>
      <c r="M507" s="26" t="s">
        <v>2756</v>
      </c>
    </row>
    <row r="508" spans="1:13" ht="33.6" customHeight="1" x14ac:dyDescent="0.3">
      <c r="A508" s="25" t="s">
        <v>1927</v>
      </c>
      <c r="B508" s="25" t="s">
        <v>2912</v>
      </c>
      <c r="C508" s="25" t="s">
        <v>1494</v>
      </c>
      <c r="D508" s="25" t="s">
        <v>18</v>
      </c>
      <c r="E508" s="25" t="s">
        <v>127</v>
      </c>
      <c r="F508" s="25" t="s">
        <v>2757</v>
      </c>
      <c r="G508" s="25" t="s">
        <v>2758</v>
      </c>
      <c r="H508" s="25" t="s">
        <v>2912</v>
      </c>
      <c r="I508" s="25" t="s">
        <v>2779</v>
      </c>
      <c r="J508" s="26" t="s">
        <v>2754</v>
      </c>
      <c r="K508" s="26" t="s">
        <v>2755</v>
      </c>
      <c r="L508" s="26">
        <v>127</v>
      </c>
      <c r="M508" s="26" t="s">
        <v>2756</v>
      </c>
    </row>
    <row r="509" spans="1:13" ht="33.6" customHeight="1" x14ac:dyDescent="0.3">
      <c r="A509" s="25" t="s">
        <v>1927</v>
      </c>
      <c r="B509" s="25" t="s">
        <v>2912</v>
      </c>
      <c r="C509" s="25" t="s">
        <v>1494</v>
      </c>
      <c r="D509" s="25" t="s">
        <v>18</v>
      </c>
      <c r="E509" s="25" t="s">
        <v>885</v>
      </c>
      <c r="F509" s="25" t="s">
        <v>2762</v>
      </c>
      <c r="G509" s="25" t="s">
        <v>2763</v>
      </c>
      <c r="H509" s="25" t="s">
        <v>2912</v>
      </c>
      <c r="I509" s="25" t="s">
        <v>2816</v>
      </c>
      <c r="J509" s="26" t="s">
        <v>2754</v>
      </c>
      <c r="K509" s="26" t="s">
        <v>2755</v>
      </c>
      <c r="L509" s="26">
        <v>14</v>
      </c>
      <c r="M509" s="26" t="s">
        <v>2756</v>
      </c>
    </row>
    <row r="510" spans="1:13" ht="33.6" customHeight="1" x14ac:dyDescent="0.3">
      <c r="A510" s="25" t="s">
        <v>1935</v>
      </c>
      <c r="B510" s="25" t="s">
        <v>2913</v>
      </c>
      <c r="C510" s="25" t="s">
        <v>17</v>
      </c>
      <c r="D510" s="25" t="s">
        <v>1938</v>
      </c>
      <c r="E510" s="25" t="s">
        <v>260</v>
      </c>
      <c r="F510" s="25" t="s">
        <v>2768</v>
      </c>
      <c r="G510" s="25" t="s">
        <v>2769</v>
      </c>
      <c r="H510" s="25" t="s">
        <v>2913</v>
      </c>
      <c r="I510" s="25" t="s">
        <v>2770</v>
      </c>
      <c r="J510" s="26" t="s">
        <v>2754</v>
      </c>
      <c r="K510" s="26" t="s">
        <v>2755</v>
      </c>
      <c r="L510" s="26">
        <v>75</v>
      </c>
      <c r="M510" s="26" t="s">
        <v>2756</v>
      </c>
    </row>
    <row r="511" spans="1:13" ht="33.6" customHeight="1" x14ac:dyDescent="0.3">
      <c r="A511" s="25" t="s">
        <v>1935</v>
      </c>
      <c r="B511" s="25" t="s">
        <v>2913</v>
      </c>
      <c r="C511" s="25" t="s">
        <v>17</v>
      </c>
      <c r="D511" s="25" t="s">
        <v>1938</v>
      </c>
      <c r="E511" s="25" t="s">
        <v>127</v>
      </c>
      <c r="F511" s="25" t="s">
        <v>2757</v>
      </c>
      <c r="G511" s="25" t="s">
        <v>2758</v>
      </c>
      <c r="H511" s="25" t="s">
        <v>2913</v>
      </c>
      <c r="I511" s="25" t="s">
        <v>2779</v>
      </c>
      <c r="J511" s="26" t="s">
        <v>2754</v>
      </c>
      <c r="K511" s="26" t="s">
        <v>2755</v>
      </c>
      <c r="L511" s="26">
        <v>127</v>
      </c>
      <c r="M511" s="26" t="s">
        <v>2756</v>
      </c>
    </row>
    <row r="512" spans="1:13" ht="33.6" customHeight="1" x14ac:dyDescent="0.3">
      <c r="A512" s="25" t="s">
        <v>1935</v>
      </c>
      <c r="B512" s="25" t="s">
        <v>2913</v>
      </c>
      <c r="C512" s="25" t="s">
        <v>17</v>
      </c>
      <c r="D512" s="25" t="s">
        <v>1938</v>
      </c>
      <c r="E512" s="25" t="s">
        <v>885</v>
      </c>
      <c r="F512" s="25" t="s">
        <v>2762</v>
      </c>
      <c r="G512" s="25" t="s">
        <v>2763</v>
      </c>
      <c r="H512" s="25" t="s">
        <v>2913</v>
      </c>
      <c r="I512" s="25" t="s">
        <v>2764</v>
      </c>
      <c r="J512" s="26" t="s">
        <v>2754</v>
      </c>
      <c r="K512" s="26" t="s">
        <v>2755</v>
      </c>
      <c r="L512" s="26">
        <v>14</v>
      </c>
      <c r="M512" s="26" t="s">
        <v>2756</v>
      </c>
    </row>
    <row r="513" spans="1:13" ht="33.6" customHeight="1" x14ac:dyDescent="0.3">
      <c r="A513" s="25" t="s">
        <v>1948</v>
      </c>
      <c r="B513" s="25" t="s">
        <v>2914</v>
      </c>
      <c r="C513" s="25" t="s">
        <v>17</v>
      </c>
      <c r="D513" s="25" t="s">
        <v>1938</v>
      </c>
      <c r="E513" s="25" t="s">
        <v>210</v>
      </c>
      <c r="F513" s="25" t="s">
        <v>2765</v>
      </c>
      <c r="G513" s="25" t="s">
        <v>2780</v>
      </c>
      <c r="H513" s="25" t="s">
        <v>2914</v>
      </c>
      <c r="I513" s="25" t="s">
        <v>2781</v>
      </c>
      <c r="J513" s="26" t="s">
        <v>2754</v>
      </c>
      <c r="K513" s="26" t="s">
        <v>2755</v>
      </c>
      <c r="L513" s="26">
        <v>38</v>
      </c>
      <c r="M513" s="26" t="s">
        <v>2756</v>
      </c>
    </row>
    <row r="514" spans="1:13" ht="33.6" customHeight="1" x14ac:dyDescent="0.3">
      <c r="A514" s="25" t="s">
        <v>1948</v>
      </c>
      <c r="B514" s="25" t="s">
        <v>2914</v>
      </c>
      <c r="C514" s="25" t="s">
        <v>17</v>
      </c>
      <c r="D514" s="25" t="s">
        <v>1938</v>
      </c>
      <c r="E514" s="25" t="s">
        <v>260</v>
      </c>
      <c r="F514" s="25" t="s">
        <v>2768</v>
      </c>
      <c r="G514" s="25" t="s">
        <v>2769</v>
      </c>
      <c r="H514" s="25" t="s">
        <v>2914</v>
      </c>
      <c r="I514" s="25" t="s">
        <v>2815</v>
      </c>
      <c r="J514" s="26" t="s">
        <v>2754</v>
      </c>
      <c r="K514" s="26" t="s">
        <v>2755</v>
      </c>
      <c r="L514" s="26">
        <v>75</v>
      </c>
      <c r="M514" s="26" t="s">
        <v>2756</v>
      </c>
    </row>
    <row r="515" spans="1:13" ht="33.6" customHeight="1" x14ac:dyDescent="0.3">
      <c r="A515" s="25" t="s">
        <v>1948</v>
      </c>
      <c r="B515" s="25" t="s">
        <v>2914</v>
      </c>
      <c r="C515" s="25" t="s">
        <v>17</v>
      </c>
      <c r="D515" s="25" t="s">
        <v>1938</v>
      </c>
      <c r="E515" s="25" t="s">
        <v>127</v>
      </c>
      <c r="F515" s="25" t="s">
        <v>2757</v>
      </c>
      <c r="G515" s="25" t="s">
        <v>2838</v>
      </c>
      <c r="H515" s="25" t="s">
        <v>2914</v>
      </c>
      <c r="I515" s="25" t="s">
        <v>2839</v>
      </c>
      <c r="J515" s="26" t="s">
        <v>2754</v>
      </c>
      <c r="K515" s="26" t="s">
        <v>2755</v>
      </c>
      <c r="L515" s="26">
        <v>127</v>
      </c>
      <c r="M515" s="26" t="s">
        <v>2756</v>
      </c>
    </row>
    <row r="516" spans="1:13" ht="33.6" customHeight="1" x14ac:dyDescent="0.3">
      <c r="A516" s="25" t="s">
        <v>1948</v>
      </c>
      <c r="B516" s="25" t="s">
        <v>2914</v>
      </c>
      <c r="C516" s="25" t="s">
        <v>17</v>
      </c>
      <c r="D516" s="25" t="s">
        <v>1938</v>
      </c>
      <c r="E516" s="25" t="s">
        <v>885</v>
      </c>
      <c r="F516" s="25" t="s">
        <v>2762</v>
      </c>
      <c r="G516" s="25" t="s">
        <v>2763</v>
      </c>
      <c r="H516" s="25" t="s">
        <v>2914</v>
      </c>
      <c r="I516" s="25" t="s">
        <v>2764</v>
      </c>
      <c r="J516" s="26" t="s">
        <v>2754</v>
      </c>
      <c r="K516" s="26" t="s">
        <v>2755</v>
      </c>
      <c r="L516" s="26">
        <v>14</v>
      </c>
      <c r="M516" s="26" t="s">
        <v>2756</v>
      </c>
    </row>
    <row r="517" spans="1:13" ht="33.6" customHeight="1" x14ac:dyDescent="0.3">
      <c r="A517" s="25" t="s">
        <v>1955</v>
      </c>
      <c r="B517" s="25" t="s">
        <v>2915</v>
      </c>
      <c r="C517" s="25" t="s">
        <v>17</v>
      </c>
      <c r="D517" s="25" t="s">
        <v>1938</v>
      </c>
      <c r="E517" s="25" t="s">
        <v>210</v>
      </c>
      <c r="F517" s="25" t="s">
        <v>2765</v>
      </c>
      <c r="G517" s="25" t="s">
        <v>2818</v>
      </c>
      <c r="H517" s="25" t="s">
        <v>2915</v>
      </c>
      <c r="I517" s="25" t="s">
        <v>2822</v>
      </c>
      <c r="J517" s="26" t="s">
        <v>2754</v>
      </c>
      <c r="K517" s="26" t="s">
        <v>2755</v>
      </c>
      <c r="L517" s="26">
        <v>38</v>
      </c>
      <c r="M517" s="26" t="s">
        <v>2756</v>
      </c>
    </row>
    <row r="518" spans="1:13" ht="33.6" customHeight="1" x14ac:dyDescent="0.3">
      <c r="A518" s="25" t="s">
        <v>1955</v>
      </c>
      <c r="B518" s="25" t="s">
        <v>2915</v>
      </c>
      <c r="C518" s="25" t="s">
        <v>17</v>
      </c>
      <c r="D518" s="25" t="s">
        <v>1938</v>
      </c>
      <c r="E518" s="25" t="s">
        <v>66</v>
      </c>
      <c r="F518" s="25" t="s">
        <v>2751</v>
      </c>
      <c r="G518" s="25" t="s">
        <v>2773</v>
      </c>
      <c r="H518" s="25" t="s">
        <v>2915</v>
      </c>
      <c r="I518" s="25" t="s">
        <v>2774</v>
      </c>
      <c r="J518" s="26" t="s">
        <v>2754</v>
      </c>
      <c r="K518" s="26" t="s">
        <v>2755</v>
      </c>
      <c r="L518" s="26">
        <v>123</v>
      </c>
      <c r="M518" s="26" t="s">
        <v>2756</v>
      </c>
    </row>
    <row r="519" spans="1:13" ht="33.6" customHeight="1" x14ac:dyDescent="0.3">
      <c r="A519" s="25" t="s">
        <v>1955</v>
      </c>
      <c r="B519" s="25" t="s">
        <v>2915</v>
      </c>
      <c r="C519" s="25" t="s">
        <v>17</v>
      </c>
      <c r="D519" s="25" t="s">
        <v>1938</v>
      </c>
      <c r="E519" s="25" t="s">
        <v>66</v>
      </c>
      <c r="F519" s="25" t="s">
        <v>2751</v>
      </c>
      <c r="G519" s="25" t="s">
        <v>2775</v>
      </c>
      <c r="H519" s="25" t="s">
        <v>2915</v>
      </c>
      <c r="I519" s="25" t="s">
        <v>2776</v>
      </c>
      <c r="J519" s="26" t="s">
        <v>2754</v>
      </c>
      <c r="K519" s="26" t="s">
        <v>2755</v>
      </c>
      <c r="L519" s="26">
        <v>123</v>
      </c>
      <c r="M519" s="26" t="s">
        <v>2756</v>
      </c>
    </row>
    <row r="520" spans="1:13" ht="33.6" customHeight="1" x14ac:dyDescent="0.3">
      <c r="A520" s="25" t="s">
        <v>1955</v>
      </c>
      <c r="B520" s="25" t="s">
        <v>2915</v>
      </c>
      <c r="C520" s="25" t="s">
        <v>17</v>
      </c>
      <c r="D520" s="25" t="s">
        <v>1938</v>
      </c>
      <c r="E520" s="25" t="s">
        <v>127</v>
      </c>
      <c r="F520" s="25" t="s">
        <v>2757</v>
      </c>
      <c r="G520" s="25" t="s">
        <v>2812</v>
      </c>
      <c r="H520" s="25" t="s">
        <v>2915</v>
      </c>
      <c r="I520" s="25" t="s">
        <v>2813</v>
      </c>
      <c r="J520" s="26" t="s">
        <v>2754</v>
      </c>
      <c r="K520" s="26" t="s">
        <v>2755</v>
      </c>
      <c r="L520" s="26">
        <v>127</v>
      </c>
      <c r="M520" s="26" t="s">
        <v>2756</v>
      </c>
    </row>
    <row r="521" spans="1:13" ht="33.6" customHeight="1" x14ac:dyDescent="0.3">
      <c r="A521" s="25" t="s">
        <v>1962</v>
      </c>
      <c r="B521" s="25" t="s">
        <v>2916</v>
      </c>
      <c r="C521" s="25" t="s">
        <v>17</v>
      </c>
      <c r="D521" s="25" t="s">
        <v>1938</v>
      </c>
      <c r="E521" s="25" t="s">
        <v>66</v>
      </c>
      <c r="F521" s="25" t="s">
        <v>2751</v>
      </c>
      <c r="G521" s="25" t="s">
        <v>2773</v>
      </c>
      <c r="H521" s="25" t="s">
        <v>2916</v>
      </c>
      <c r="I521" s="25" t="s">
        <v>2774</v>
      </c>
      <c r="J521" s="26" t="s">
        <v>2754</v>
      </c>
      <c r="K521" s="26" t="s">
        <v>2755</v>
      </c>
      <c r="L521" s="26">
        <v>123</v>
      </c>
      <c r="M521" s="26" t="s">
        <v>2756</v>
      </c>
    </row>
    <row r="522" spans="1:13" ht="33.6" customHeight="1" x14ac:dyDescent="0.3">
      <c r="A522" s="25" t="s">
        <v>1962</v>
      </c>
      <c r="B522" s="25" t="s">
        <v>2916</v>
      </c>
      <c r="C522" s="25" t="s">
        <v>17</v>
      </c>
      <c r="D522" s="25" t="s">
        <v>1938</v>
      </c>
      <c r="E522" s="25" t="s">
        <v>66</v>
      </c>
      <c r="F522" s="25" t="s">
        <v>2751</v>
      </c>
      <c r="G522" s="25" t="s">
        <v>2775</v>
      </c>
      <c r="H522" s="25" t="s">
        <v>2916</v>
      </c>
      <c r="I522" s="25" t="s">
        <v>2776</v>
      </c>
      <c r="J522" s="26" t="s">
        <v>2754</v>
      </c>
      <c r="K522" s="26" t="s">
        <v>2755</v>
      </c>
      <c r="L522" s="26">
        <v>123</v>
      </c>
      <c r="M522" s="26" t="s">
        <v>2756</v>
      </c>
    </row>
    <row r="523" spans="1:13" ht="33.6" customHeight="1" x14ac:dyDescent="0.3">
      <c r="A523" s="25" t="s">
        <v>1962</v>
      </c>
      <c r="B523" s="25" t="s">
        <v>2916</v>
      </c>
      <c r="C523" s="25" t="s">
        <v>17</v>
      </c>
      <c r="D523" s="25" t="s">
        <v>1938</v>
      </c>
      <c r="E523" s="25" t="s">
        <v>127</v>
      </c>
      <c r="F523" s="25" t="s">
        <v>2757</v>
      </c>
      <c r="G523" s="25" t="s">
        <v>2760</v>
      </c>
      <c r="H523" s="25" t="s">
        <v>2916</v>
      </c>
      <c r="I523" s="25" t="s">
        <v>2761</v>
      </c>
      <c r="J523" s="26" t="s">
        <v>2754</v>
      </c>
      <c r="K523" s="26" t="s">
        <v>2755</v>
      </c>
      <c r="L523" s="26">
        <v>127</v>
      </c>
      <c r="M523" s="26" t="s">
        <v>2756</v>
      </c>
    </row>
    <row r="524" spans="1:13" ht="33.6" customHeight="1" x14ac:dyDescent="0.3">
      <c r="A524" s="25" t="s">
        <v>1968</v>
      </c>
      <c r="B524" s="25" t="s">
        <v>1969</v>
      </c>
      <c r="C524" s="25" t="s">
        <v>17</v>
      </c>
      <c r="D524" s="25" t="s">
        <v>1938</v>
      </c>
      <c r="E524" s="25" t="s">
        <v>66</v>
      </c>
      <c r="F524" s="25" t="s">
        <v>2751</v>
      </c>
      <c r="G524" s="25" t="s">
        <v>2775</v>
      </c>
      <c r="H524" s="25" t="s">
        <v>1969</v>
      </c>
      <c r="I524" s="25" t="s">
        <v>2806</v>
      </c>
      <c r="J524" s="26" t="s">
        <v>2754</v>
      </c>
      <c r="K524" s="26" t="s">
        <v>2755</v>
      </c>
      <c r="L524" s="26">
        <v>123</v>
      </c>
      <c r="M524" s="26" t="s">
        <v>2756</v>
      </c>
    </row>
    <row r="525" spans="1:13" ht="33.6" customHeight="1" x14ac:dyDescent="0.3">
      <c r="A525" s="25" t="s">
        <v>1974</v>
      </c>
      <c r="B525" s="25" t="s">
        <v>2917</v>
      </c>
      <c r="C525" s="25" t="s">
        <v>17</v>
      </c>
      <c r="D525" s="25" t="s">
        <v>1938</v>
      </c>
      <c r="E525" s="25" t="s">
        <v>66</v>
      </c>
      <c r="F525" s="25" t="s">
        <v>2751</v>
      </c>
      <c r="G525" s="25" t="s">
        <v>2773</v>
      </c>
      <c r="H525" s="25" t="s">
        <v>2917</v>
      </c>
      <c r="I525" s="25" t="s">
        <v>2774</v>
      </c>
      <c r="J525" s="26" t="s">
        <v>2754</v>
      </c>
      <c r="K525" s="26" t="s">
        <v>2755</v>
      </c>
      <c r="L525" s="26">
        <v>123</v>
      </c>
      <c r="M525" s="26" t="s">
        <v>2756</v>
      </c>
    </row>
    <row r="526" spans="1:13" ht="33.6" customHeight="1" x14ac:dyDescent="0.3">
      <c r="A526" s="25" t="s">
        <v>1974</v>
      </c>
      <c r="B526" s="25" t="s">
        <v>2917</v>
      </c>
      <c r="C526" s="25" t="s">
        <v>17</v>
      </c>
      <c r="D526" s="25" t="s">
        <v>1938</v>
      </c>
      <c r="E526" s="25" t="s">
        <v>66</v>
      </c>
      <c r="F526" s="25" t="s">
        <v>2751</v>
      </c>
      <c r="G526" s="25" t="s">
        <v>2775</v>
      </c>
      <c r="H526" s="25" t="s">
        <v>2917</v>
      </c>
      <c r="I526" s="25" t="s">
        <v>2776</v>
      </c>
      <c r="J526" s="26" t="s">
        <v>2754</v>
      </c>
      <c r="K526" s="26" t="s">
        <v>2755</v>
      </c>
      <c r="L526" s="26">
        <v>123</v>
      </c>
      <c r="M526" s="26" t="s">
        <v>2756</v>
      </c>
    </row>
    <row r="527" spans="1:13" ht="33.6" customHeight="1" x14ac:dyDescent="0.3">
      <c r="A527" s="25" t="s">
        <v>1986</v>
      </c>
      <c r="B527" s="25" t="s">
        <v>1987</v>
      </c>
      <c r="C527" s="25" t="s">
        <v>17</v>
      </c>
      <c r="D527" s="25" t="s">
        <v>1938</v>
      </c>
      <c r="E527" s="25" t="s">
        <v>210</v>
      </c>
      <c r="F527" s="25" t="s">
        <v>2765</v>
      </c>
      <c r="G527" s="25" t="s">
        <v>2818</v>
      </c>
      <c r="H527" s="25" t="s">
        <v>1987</v>
      </c>
      <c r="I527" s="25" t="s">
        <v>2819</v>
      </c>
      <c r="J527" s="26" t="s">
        <v>2754</v>
      </c>
      <c r="K527" s="26" t="s">
        <v>2755</v>
      </c>
      <c r="L527" s="26">
        <v>38</v>
      </c>
      <c r="M527" s="26" t="s">
        <v>2756</v>
      </c>
    </row>
    <row r="528" spans="1:13" ht="33.6" customHeight="1" x14ac:dyDescent="0.3">
      <c r="A528" s="25" t="s">
        <v>1986</v>
      </c>
      <c r="B528" s="25" t="s">
        <v>1987</v>
      </c>
      <c r="C528" s="25" t="s">
        <v>17</v>
      </c>
      <c r="D528" s="25" t="s">
        <v>1938</v>
      </c>
      <c r="E528" s="25" t="s">
        <v>51</v>
      </c>
      <c r="F528" s="25" t="s">
        <v>2809</v>
      </c>
      <c r="G528" s="25" t="s">
        <v>2810</v>
      </c>
      <c r="H528" s="25" t="s">
        <v>1987</v>
      </c>
      <c r="I528" s="25" t="s">
        <v>2867</v>
      </c>
      <c r="J528" s="26" t="s">
        <v>2754</v>
      </c>
      <c r="K528" s="26" t="s">
        <v>2755</v>
      </c>
      <c r="L528" s="26">
        <v>21</v>
      </c>
      <c r="M528" s="26" t="s">
        <v>2756</v>
      </c>
    </row>
    <row r="529" spans="1:13" ht="33.6" customHeight="1" x14ac:dyDescent="0.3">
      <c r="A529" s="25" t="s">
        <v>1986</v>
      </c>
      <c r="B529" s="25" t="s">
        <v>1987</v>
      </c>
      <c r="C529" s="25" t="s">
        <v>17</v>
      </c>
      <c r="D529" s="25" t="s">
        <v>1938</v>
      </c>
      <c r="E529" s="25" t="s">
        <v>51</v>
      </c>
      <c r="F529" s="25" t="s">
        <v>2809</v>
      </c>
      <c r="G529" s="25" t="s">
        <v>2892</v>
      </c>
      <c r="H529" s="25" t="s">
        <v>1987</v>
      </c>
      <c r="I529" s="25" t="s">
        <v>2893</v>
      </c>
      <c r="J529" s="26" t="s">
        <v>2754</v>
      </c>
      <c r="K529" s="26" t="s">
        <v>2755</v>
      </c>
      <c r="L529" s="26">
        <v>21</v>
      </c>
      <c r="M529" s="26" t="s">
        <v>2756</v>
      </c>
    </row>
    <row r="530" spans="1:13" ht="33.6" customHeight="1" x14ac:dyDescent="0.3">
      <c r="A530" s="25" t="s">
        <v>1986</v>
      </c>
      <c r="B530" s="25" t="s">
        <v>1987</v>
      </c>
      <c r="C530" s="25" t="s">
        <v>17</v>
      </c>
      <c r="D530" s="25" t="s">
        <v>1938</v>
      </c>
      <c r="E530" s="25" t="s">
        <v>66</v>
      </c>
      <c r="F530" s="25" t="s">
        <v>2751</v>
      </c>
      <c r="G530" s="25" t="s">
        <v>2794</v>
      </c>
      <c r="H530" s="25" t="s">
        <v>1987</v>
      </c>
      <c r="I530" s="25" t="s">
        <v>2795</v>
      </c>
      <c r="J530" s="26" t="s">
        <v>2754</v>
      </c>
      <c r="K530" s="26" t="s">
        <v>2755</v>
      </c>
      <c r="L530" s="26">
        <v>123</v>
      </c>
      <c r="M530" s="26" t="s">
        <v>2756</v>
      </c>
    </row>
    <row r="531" spans="1:13" ht="33.6" customHeight="1" x14ac:dyDescent="0.3">
      <c r="A531" s="25" t="s">
        <v>1986</v>
      </c>
      <c r="B531" s="25" t="s">
        <v>1987</v>
      </c>
      <c r="C531" s="25" t="s">
        <v>17</v>
      </c>
      <c r="D531" s="25" t="s">
        <v>1938</v>
      </c>
      <c r="E531" s="25" t="s">
        <v>66</v>
      </c>
      <c r="F531" s="25" t="s">
        <v>2751</v>
      </c>
      <c r="G531" s="25" t="s">
        <v>2775</v>
      </c>
      <c r="H531" s="25" t="s">
        <v>1987</v>
      </c>
      <c r="I531" s="25" t="s">
        <v>2776</v>
      </c>
      <c r="J531" s="26" t="s">
        <v>2754</v>
      </c>
      <c r="K531" s="26" t="s">
        <v>2755</v>
      </c>
      <c r="L531" s="26">
        <v>123</v>
      </c>
      <c r="M531" s="26" t="s">
        <v>2756</v>
      </c>
    </row>
    <row r="532" spans="1:13" ht="33.6" customHeight="1" x14ac:dyDescent="0.3">
      <c r="A532" s="25" t="s">
        <v>1986</v>
      </c>
      <c r="B532" s="25" t="s">
        <v>1987</v>
      </c>
      <c r="C532" s="25" t="s">
        <v>17</v>
      </c>
      <c r="D532" s="25" t="s">
        <v>1938</v>
      </c>
      <c r="E532" s="25" t="s">
        <v>127</v>
      </c>
      <c r="F532" s="25" t="s">
        <v>2757</v>
      </c>
      <c r="G532" s="25" t="s">
        <v>2760</v>
      </c>
      <c r="H532" s="25" t="s">
        <v>1987</v>
      </c>
      <c r="I532" s="25" t="s">
        <v>2761</v>
      </c>
      <c r="J532" s="26" t="s">
        <v>2754</v>
      </c>
      <c r="K532" s="26" t="s">
        <v>2755</v>
      </c>
      <c r="L532" s="26">
        <v>127</v>
      </c>
      <c r="M532" s="26" t="s">
        <v>2756</v>
      </c>
    </row>
    <row r="533" spans="1:13" ht="33.6" customHeight="1" x14ac:dyDescent="0.3">
      <c r="A533" s="25" t="s">
        <v>1986</v>
      </c>
      <c r="B533" s="25" t="s">
        <v>1987</v>
      </c>
      <c r="C533" s="25" t="s">
        <v>17</v>
      </c>
      <c r="D533" s="25" t="s">
        <v>1938</v>
      </c>
      <c r="E533" s="25" t="s">
        <v>885</v>
      </c>
      <c r="F533" s="25" t="s">
        <v>2762</v>
      </c>
      <c r="G533" s="25" t="s">
        <v>2763</v>
      </c>
      <c r="H533" s="25" t="s">
        <v>1987</v>
      </c>
      <c r="I533" s="25" t="s">
        <v>2764</v>
      </c>
      <c r="J533" s="26" t="s">
        <v>2754</v>
      </c>
      <c r="K533" s="26" t="s">
        <v>2755</v>
      </c>
      <c r="L533" s="26">
        <v>14</v>
      </c>
      <c r="M533" s="26" t="s">
        <v>2756</v>
      </c>
    </row>
    <row r="534" spans="1:13" ht="33.6" customHeight="1" x14ac:dyDescent="0.3">
      <c r="A534" s="25" t="s">
        <v>1986</v>
      </c>
      <c r="B534" s="25" t="s">
        <v>1987</v>
      </c>
      <c r="C534" s="25" t="s">
        <v>17</v>
      </c>
      <c r="D534" s="25" t="s">
        <v>1938</v>
      </c>
      <c r="E534" s="25" t="s">
        <v>885</v>
      </c>
      <c r="F534" s="25" t="s">
        <v>2762</v>
      </c>
      <c r="G534" s="25" t="s">
        <v>2885</v>
      </c>
      <c r="H534" s="25" t="s">
        <v>1987</v>
      </c>
      <c r="I534" s="25" t="s">
        <v>2886</v>
      </c>
      <c r="J534" s="26" t="s">
        <v>2754</v>
      </c>
      <c r="K534" s="26" t="s">
        <v>2755</v>
      </c>
      <c r="L534" s="26">
        <v>14</v>
      </c>
      <c r="M534" s="26" t="s">
        <v>2756</v>
      </c>
    </row>
    <row r="535" spans="1:13" ht="33.6" customHeight="1" x14ac:dyDescent="0.3">
      <c r="A535" s="25" t="s">
        <v>1997</v>
      </c>
      <c r="B535" s="25" t="s">
        <v>1998</v>
      </c>
      <c r="C535" s="25" t="s">
        <v>17</v>
      </c>
      <c r="D535" s="25" t="s">
        <v>1938</v>
      </c>
      <c r="E535" s="25" t="s">
        <v>66</v>
      </c>
      <c r="F535" s="25" t="s">
        <v>2751</v>
      </c>
      <c r="G535" s="25" t="s">
        <v>2775</v>
      </c>
      <c r="H535" s="25" t="s">
        <v>1998</v>
      </c>
      <c r="I535" s="25" t="s">
        <v>2806</v>
      </c>
      <c r="J535" s="26" t="s">
        <v>2754</v>
      </c>
      <c r="K535" s="26" t="s">
        <v>2755</v>
      </c>
      <c r="L535" s="26">
        <v>123</v>
      </c>
      <c r="M535" s="26" t="s">
        <v>2756</v>
      </c>
    </row>
    <row r="536" spans="1:13" ht="33.6" customHeight="1" x14ac:dyDescent="0.3">
      <c r="A536" s="25" t="s">
        <v>1997</v>
      </c>
      <c r="B536" s="25" t="s">
        <v>1998</v>
      </c>
      <c r="C536" s="25" t="s">
        <v>17</v>
      </c>
      <c r="D536" s="25" t="s">
        <v>1938</v>
      </c>
      <c r="E536" s="25" t="s">
        <v>127</v>
      </c>
      <c r="F536" s="25" t="s">
        <v>2757</v>
      </c>
      <c r="G536" s="25" t="s">
        <v>2758</v>
      </c>
      <c r="H536" s="25" t="s">
        <v>1998</v>
      </c>
      <c r="I536" s="25" t="s">
        <v>2779</v>
      </c>
      <c r="J536" s="26" t="s">
        <v>2754</v>
      </c>
      <c r="K536" s="26" t="s">
        <v>2755</v>
      </c>
      <c r="L536" s="26">
        <v>127</v>
      </c>
      <c r="M536" s="26" t="s">
        <v>2756</v>
      </c>
    </row>
    <row r="537" spans="1:13" ht="33.6" customHeight="1" x14ac:dyDescent="0.3">
      <c r="A537" s="25" t="s">
        <v>2005</v>
      </c>
      <c r="B537" s="25" t="s">
        <v>2918</v>
      </c>
      <c r="C537" s="25" t="s">
        <v>17</v>
      </c>
      <c r="D537" s="25" t="s">
        <v>1938</v>
      </c>
      <c r="E537" s="25" t="s">
        <v>66</v>
      </c>
      <c r="F537" s="25" t="s">
        <v>2751</v>
      </c>
      <c r="G537" s="25" t="s">
        <v>2775</v>
      </c>
      <c r="H537" s="25" t="s">
        <v>2918</v>
      </c>
      <c r="I537" s="25" t="s">
        <v>2776</v>
      </c>
      <c r="J537" s="26" t="s">
        <v>2754</v>
      </c>
      <c r="K537" s="26" t="s">
        <v>2755</v>
      </c>
      <c r="L537" s="26">
        <v>123</v>
      </c>
      <c r="M537" s="26" t="s">
        <v>2756</v>
      </c>
    </row>
    <row r="538" spans="1:13" ht="33.6" customHeight="1" x14ac:dyDescent="0.3">
      <c r="A538" s="25" t="s">
        <v>2005</v>
      </c>
      <c r="B538" s="25" t="s">
        <v>2918</v>
      </c>
      <c r="C538" s="25" t="s">
        <v>17</v>
      </c>
      <c r="D538" s="25" t="s">
        <v>1938</v>
      </c>
      <c r="E538" s="25" t="s">
        <v>127</v>
      </c>
      <c r="F538" s="25" t="s">
        <v>2757</v>
      </c>
      <c r="G538" s="25" t="s">
        <v>2758</v>
      </c>
      <c r="H538" s="25" t="s">
        <v>2918</v>
      </c>
      <c r="I538" s="25" t="s">
        <v>2779</v>
      </c>
      <c r="J538" s="26" t="s">
        <v>2754</v>
      </c>
      <c r="K538" s="26" t="s">
        <v>2755</v>
      </c>
      <c r="L538" s="26">
        <v>127</v>
      </c>
      <c r="M538" s="26" t="s">
        <v>2756</v>
      </c>
    </row>
    <row r="539" spans="1:13" ht="33.6" customHeight="1" x14ac:dyDescent="0.3">
      <c r="A539" s="25" t="s">
        <v>2090</v>
      </c>
      <c r="B539" s="25" t="s">
        <v>2091</v>
      </c>
      <c r="C539" s="25" t="s">
        <v>1494</v>
      </c>
      <c r="D539" s="25" t="s">
        <v>1938</v>
      </c>
      <c r="E539" s="25" t="s">
        <v>127</v>
      </c>
      <c r="F539" s="25" t="s">
        <v>2757</v>
      </c>
      <c r="G539" s="25" t="s">
        <v>2760</v>
      </c>
      <c r="H539" s="25" t="s">
        <v>2091</v>
      </c>
      <c r="I539" s="25" t="s">
        <v>2761</v>
      </c>
      <c r="J539" s="26" t="s">
        <v>2754</v>
      </c>
      <c r="K539" s="26" t="s">
        <v>2755</v>
      </c>
      <c r="L539" s="26">
        <v>127</v>
      </c>
      <c r="M539" s="26" t="s">
        <v>2756</v>
      </c>
    </row>
    <row r="540" spans="1:13" ht="33.6" customHeight="1" x14ac:dyDescent="0.3">
      <c r="A540" s="25" t="s">
        <v>2090</v>
      </c>
      <c r="B540" s="25" t="s">
        <v>2091</v>
      </c>
      <c r="C540" s="25" t="s">
        <v>1494</v>
      </c>
      <c r="D540" s="25" t="s">
        <v>1938</v>
      </c>
      <c r="E540" s="25" t="s">
        <v>127</v>
      </c>
      <c r="F540" s="25" t="s">
        <v>2757</v>
      </c>
      <c r="G540" s="25" t="s">
        <v>2792</v>
      </c>
      <c r="H540" s="25" t="s">
        <v>2091</v>
      </c>
      <c r="I540" s="25" t="s">
        <v>2793</v>
      </c>
      <c r="J540" s="26" t="s">
        <v>2754</v>
      </c>
      <c r="K540" s="26" t="s">
        <v>2755</v>
      </c>
      <c r="L540" s="26">
        <v>127</v>
      </c>
      <c r="M540" s="26" t="s">
        <v>2756</v>
      </c>
    </row>
    <row r="541" spans="1:13" ht="33.6" customHeight="1" x14ac:dyDescent="0.3">
      <c r="A541" s="25" t="s">
        <v>2096</v>
      </c>
      <c r="B541" s="25" t="s">
        <v>2097</v>
      </c>
      <c r="C541" s="25" t="s">
        <v>1494</v>
      </c>
      <c r="D541" s="25" t="s">
        <v>1938</v>
      </c>
      <c r="E541" s="25" t="s">
        <v>66</v>
      </c>
      <c r="F541" s="25" t="s">
        <v>2751</v>
      </c>
      <c r="G541" s="25" t="s">
        <v>2775</v>
      </c>
      <c r="H541" s="25" t="s">
        <v>2097</v>
      </c>
      <c r="I541" s="25" t="s">
        <v>2776</v>
      </c>
      <c r="J541" s="26" t="s">
        <v>2754</v>
      </c>
      <c r="K541" s="26" t="s">
        <v>2755</v>
      </c>
      <c r="L541" s="26">
        <v>123</v>
      </c>
      <c r="M541" s="26" t="s">
        <v>2756</v>
      </c>
    </row>
    <row r="542" spans="1:13" ht="33.6" customHeight="1" x14ac:dyDescent="0.3">
      <c r="A542" s="25" t="s">
        <v>2096</v>
      </c>
      <c r="B542" s="25" t="s">
        <v>2097</v>
      </c>
      <c r="C542" s="25" t="s">
        <v>1494</v>
      </c>
      <c r="D542" s="25" t="s">
        <v>1938</v>
      </c>
      <c r="E542" s="25" t="s">
        <v>885</v>
      </c>
      <c r="F542" s="25" t="s">
        <v>2762</v>
      </c>
      <c r="G542" s="25" t="s">
        <v>2763</v>
      </c>
      <c r="H542" s="25" t="s">
        <v>2097</v>
      </c>
      <c r="I542" s="25" t="s">
        <v>2764</v>
      </c>
      <c r="J542" s="26" t="s">
        <v>2754</v>
      </c>
      <c r="K542" s="26" t="s">
        <v>2755</v>
      </c>
      <c r="L542" s="26">
        <v>14</v>
      </c>
      <c r="M542" s="26" t="s">
        <v>2756</v>
      </c>
    </row>
    <row r="543" spans="1:13" ht="33.6" customHeight="1" x14ac:dyDescent="0.3">
      <c r="A543" s="25" t="s">
        <v>2104</v>
      </c>
      <c r="B543" s="25" t="s">
        <v>2105</v>
      </c>
      <c r="C543" s="25" t="s">
        <v>1494</v>
      </c>
      <c r="D543" s="25" t="s">
        <v>1938</v>
      </c>
      <c r="E543" s="25" t="s">
        <v>210</v>
      </c>
      <c r="F543" s="25" t="s">
        <v>2765</v>
      </c>
      <c r="G543" s="25" t="s">
        <v>2818</v>
      </c>
      <c r="H543" s="25" t="s">
        <v>2105</v>
      </c>
      <c r="I543" s="25" t="s">
        <v>2822</v>
      </c>
      <c r="J543" s="26" t="s">
        <v>2754</v>
      </c>
      <c r="K543" s="26" t="s">
        <v>2755</v>
      </c>
      <c r="L543" s="26">
        <v>38</v>
      </c>
      <c r="M543" s="26" t="s">
        <v>2756</v>
      </c>
    </row>
    <row r="544" spans="1:13" ht="33.6" customHeight="1" x14ac:dyDescent="0.3">
      <c r="A544" s="25" t="s">
        <v>2110</v>
      </c>
      <c r="B544" s="25" t="s">
        <v>2111</v>
      </c>
      <c r="C544" s="25" t="s">
        <v>1494</v>
      </c>
      <c r="D544" s="25" t="s">
        <v>1938</v>
      </c>
      <c r="E544" s="25" t="s">
        <v>66</v>
      </c>
      <c r="F544" s="25" t="s">
        <v>2751</v>
      </c>
      <c r="G544" s="25" t="s">
        <v>2773</v>
      </c>
      <c r="H544" s="25" t="s">
        <v>2111</v>
      </c>
      <c r="I544" s="25" t="s">
        <v>2774</v>
      </c>
      <c r="J544" s="26" t="s">
        <v>2754</v>
      </c>
      <c r="K544" s="26" t="s">
        <v>2755</v>
      </c>
      <c r="L544" s="26">
        <v>123</v>
      </c>
      <c r="M544" s="26" t="s">
        <v>2756</v>
      </c>
    </row>
    <row r="545" spans="1:13" ht="33.6" customHeight="1" x14ac:dyDescent="0.3">
      <c r="A545" s="25" t="s">
        <v>2110</v>
      </c>
      <c r="B545" s="25" t="s">
        <v>2111</v>
      </c>
      <c r="C545" s="25" t="s">
        <v>1494</v>
      </c>
      <c r="D545" s="25" t="s">
        <v>1938</v>
      </c>
      <c r="E545" s="25" t="s">
        <v>66</v>
      </c>
      <c r="F545" s="25" t="s">
        <v>2751</v>
      </c>
      <c r="G545" s="25" t="s">
        <v>2775</v>
      </c>
      <c r="H545" s="25" t="s">
        <v>2111</v>
      </c>
      <c r="I545" s="25" t="s">
        <v>2776</v>
      </c>
      <c r="J545" s="26" t="s">
        <v>2754</v>
      </c>
      <c r="K545" s="26" t="s">
        <v>2755</v>
      </c>
      <c r="L545" s="26">
        <v>123</v>
      </c>
      <c r="M545" s="26" t="s">
        <v>2756</v>
      </c>
    </row>
    <row r="546" spans="1:13" ht="33.6" customHeight="1" x14ac:dyDescent="0.3">
      <c r="A546" s="25" t="s">
        <v>2110</v>
      </c>
      <c r="B546" s="25" t="s">
        <v>2111</v>
      </c>
      <c r="C546" s="25" t="s">
        <v>1494</v>
      </c>
      <c r="D546" s="25" t="s">
        <v>1938</v>
      </c>
      <c r="E546" s="25" t="s">
        <v>66</v>
      </c>
      <c r="F546" s="25" t="s">
        <v>2751</v>
      </c>
      <c r="G546" s="25" t="s">
        <v>2777</v>
      </c>
      <c r="H546" s="25" t="s">
        <v>2111</v>
      </c>
      <c r="I546" s="25" t="s">
        <v>2778</v>
      </c>
      <c r="J546" s="26" t="s">
        <v>2754</v>
      </c>
      <c r="K546" s="26" t="s">
        <v>2755</v>
      </c>
      <c r="L546" s="26">
        <v>123</v>
      </c>
      <c r="M546" s="26" t="s">
        <v>2756</v>
      </c>
    </row>
    <row r="547" spans="1:13" ht="33.6" customHeight="1" x14ac:dyDescent="0.3">
      <c r="A547" s="25" t="s">
        <v>2110</v>
      </c>
      <c r="B547" s="25" t="s">
        <v>2111</v>
      </c>
      <c r="C547" s="25" t="s">
        <v>1494</v>
      </c>
      <c r="D547" s="25" t="s">
        <v>1938</v>
      </c>
      <c r="E547" s="25" t="s">
        <v>127</v>
      </c>
      <c r="F547" s="25" t="s">
        <v>2757</v>
      </c>
      <c r="G547" s="25" t="s">
        <v>2758</v>
      </c>
      <c r="H547" s="25" t="s">
        <v>2111</v>
      </c>
      <c r="I547" s="25" t="s">
        <v>2759</v>
      </c>
      <c r="J547" s="26" t="s">
        <v>2754</v>
      </c>
      <c r="K547" s="26" t="s">
        <v>2755</v>
      </c>
      <c r="L547" s="26">
        <v>127</v>
      </c>
      <c r="M547" s="26" t="s">
        <v>2756</v>
      </c>
    </row>
    <row r="548" spans="1:13" ht="33.6" customHeight="1" x14ac:dyDescent="0.3">
      <c r="A548" s="25" t="s">
        <v>2117</v>
      </c>
      <c r="B548" s="25" t="s">
        <v>2118</v>
      </c>
      <c r="C548" s="25" t="s">
        <v>1494</v>
      </c>
      <c r="D548" s="25" t="s">
        <v>1938</v>
      </c>
      <c r="E548" s="25" t="s">
        <v>210</v>
      </c>
      <c r="F548" s="25" t="s">
        <v>2765</v>
      </c>
      <c r="G548" s="25" t="s">
        <v>2782</v>
      </c>
      <c r="H548" s="25" t="s">
        <v>2118</v>
      </c>
      <c r="I548" s="25" t="s">
        <v>2783</v>
      </c>
      <c r="J548" s="26" t="s">
        <v>2754</v>
      </c>
      <c r="K548" s="26" t="s">
        <v>2755</v>
      </c>
      <c r="L548" s="26">
        <v>38</v>
      </c>
      <c r="M548" s="26" t="s">
        <v>2756</v>
      </c>
    </row>
    <row r="549" spans="1:13" ht="33.6" customHeight="1" x14ac:dyDescent="0.3">
      <c r="A549" s="25" t="s">
        <v>2117</v>
      </c>
      <c r="B549" s="25" t="s">
        <v>2118</v>
      </c>
      <c r="C549" s="25" t="s">
        <v>1494</v>
      </c>
      <c r="D549" s="25" t="s">
        <v>1938</v>
      </c>
      <c r="E549" s="25" t="s">
        <v>66</v>
      </c>
      <c r="F549" s="25" t="s">
        <v>2751</v>
      </c>
      <c r="G549" s="25" t="s">
        <v>2773</v>
      </c>
      <c r="H549" s="25" t="s">
        <v>2118</v>
      </c>
      <c r="I549" s="25" t="s">
        <v>2774</v>
      </c>
      <c r="J549" s="26" t="s">
        <v>2754</v>
      </c>
      <c r="K549" s="26" t="s">
        <v>2755</v>
      </c>
      <c r="L549" s="26">
        <v>123</v>
      </c>
      <c r="M549" s="26" t="s">
        <v>2756</v>
      </c>
    </row>
    <row r="550" spans="1:13" ht="33.6" customHeight="1" x14ac:dyDescent="0.3">
      <c r="A550" s="25" t="s">
        <v>2117</v>
      </c>
      <c r="B550" s="25" t="s">
        <v>2118</v>
      </c>
      <c r="C550" s="25" t="s">
        <v>1494</v>
      </c>
      <c r="D550" s="25" t="s">
        <v>1938</v>
      </c>
      <c r="E550" s="25" t="s">
        <v>66</v>
      </c>
      <c r="F550" s="25" t="s">
        <v>2751</v>
      </c>
      <c r="G550" s="25" t="s">
        <v>2775</v>
      </c>
      <c r="H550" s="25" t="s">
        <v>2118</v>
      </c>
      <c r="I550" s="25" t="s">
        <v>2776</v>
      </c>
      <c r="J550" s="26" t="s">
        <v>2754</v>
      </c>
      <c r="K550" s="26" t="s">
        <v>2755</v>
      </c>
      <c r="L550" s="26">
        <v>123</v>
      </c>
      <c r="M550" s="26" t="s">
        <v>2756</v>
      </c>
    </row>
    <row r="551" spans="1:13" ht="33.6" customHeight="1" x14ac:dyDescent="0.3">
      <c r="A551" s="25" t="s">
        <v>2123</v>
      </c>
      <c r="B551" s="25" t="s">
        <v>1975</v>
      </c>
      <c r="C551" s="25" t="s">
        <v>1494</v>
      </c>
      <c r="D551" s="25" t="s">
        <v>1938</v>
      </c>
      <c r="E551" s="25" t="s">
        <v>66</v>
      </c>
      <c r="F551" s="25" t="s">
        <v>2751</v>
      </c>
      <c r="G551" s="25" t="s">
        <v>2773</v>
      </c>
      <c r="H551" s="25" t="s">
        <v>1975</v>
      </c>
      <c r="I551" s="25" t="s">
        <v>2774</v>
      </c>
      <c r="J551" s="26" t="s">
        <v>2754</v>
      </c>
      <c r="K551" s="26" t="s">
        <v>2755</v>
      </c>
      <c r="L551" s="26">
        <v>123</v>
      </c>
      <c r="M551" s="26" t="s">
        <v>2756</v>
      </c>
    </row>
    <row r="552" spans="1:13" ht="33.6" customHeight="1" x14ac:dyDescent="0.3">
      <c r="A552" s="25" t="s">
        <v>2123</v>
      </c>
      <c r="B552" s="25" t="s">
        <v>1975</v>
      </c>
      <c r="C552" s="25" t="s">
        <v>1494</v>
      </c>
      <c r="D552" s="25" t="s">
        <v>1938</v>
      </c>
      <c r="E552" s="25" t="s">
        <v>66</v>
      </c>
      <c r="F552" s="25" t="s">
        <v>2751</v>
      </c>
      <c r="G552" s="25" t="s">
        <v>2775</v>
      </c>
      <c r="H552" s="25" t="s">
        <v>1975</v>
      </c>
      <c r="I552" s="25" t="s">
        <v>2776</v>
      </c>
      <c r="J552" s="26" t="s">
        <v>2754</v>
      </c>
      <c r="K552" s="26" t="s">
        <v>2755</v>
      </c>
      <c r="L552" s="26">
        <v>123</v>
      </c>
      <c r="M552" s="26" t="s">
        <v>2756</v>
      </c>
    </row>
    <row r="553" spans="1:13" ht="33.6" customHeight="1" x14ac:dyDescent="0.3">
      <c r="A553" s="25" t="s">
        <v>2130</v>
      </c>
      <c r="B553" s="25" t="s">
        <v>2131</v>
      </c>
      <c r="C553" s="25" t="s">
        <v>1494</v>
      </c>
      <c r="D553" s="25" t="s">
        <v>1938</v>
      </c>
      <c r="E553" s="25" t="s">
        <v>127</v>
      </c>
      <c r="F553" s="25" t="s">
        <v>2757</v>
      </c>
      <c r="G553" s="25" t="s">
        <v>2812</v>
      </c>
      <c r="H553" s="25" t="s">
        <v>2131</v>
      </c>
      <c r="I553" s="25" t="s">
        <v>2813</v>
      </c>
      <c r="J553" s="26" t="s">
        <v>2754</v>
      </c>
      <c r="K553" s="26" t="s">
        <v>2755</v>
      </c>
      <c r="L553" s="26">
        <v>127</v>
      </c>
      <c r="M553" s="26" t="s">
        <v>2756</v>
      </c>
    </row>
    <row r="554" spans="1:13" ht="33.6" customHeight="1" x14ac:dyDescent="0.3">
      <c r="A554" s="25" t="s">
        <v>2136</v>
      </c>
      <c r="B554" s="25" t="s">
        <v>2137</v>
      </c>
      <c r="C554" s="25" t="s">
        <v>1494</v>
      </c>
      <c r="D554" s="25" t="s">
        <v>1938</v>
      </c>
      <c r="E554" s="25" t="s">
        <v>66</v>
      </c>
      <c r="F554" s="25" t="s">
        <v>2751</v>
      </c>
      <c r="G554" s="25" t="s">
        <v>2773</v>
      </c>
      <c r="H554" s="25" t="s">
        <v>2137</v>
      </c>
      <c r="I554" s="25" t="s">
        <v>2774</v>
      </c>
      <c r="J554" s="26" t="s">
        <v>2754</v>
      </c>
      <c r="K554" s="26" t="s">
        <v>2755</v>
      </c>
      <c r="L554" s="26">
        <v>123</v>
      </c>
      <c r="M554" s="26" t="s">
        <v>2756</v>
      </c>
    </row>
    <row r="555" spans="1:13" ht="33.6" customHeight="1" x14ac:dyDescent="0.3">
      <c r="A555" s="25" t="s">
        <v>2136</v>
      </c>
      <c r="B555" s="25" t="s">
        <v>2137</v>
      </c>
      <c r="C555" s="25" t="s">
        <v>1494</v>
      </c>
      <c r="D555" s="25" t="s">
        <v>1938</v>
      </c>
      <c r="E555" s="25" t="s">
        <v>66</v>
      </c>
      <c r="F555" s="25" t="s">
        <v>2751</v>
      </c>
      <c r="G555" s="25" t="s">
        <v>2775</v>
      </c>
      <c r="H555" s="25" t="s">
        <v>2137</v>
      </c>
      <c r="I555" s="25" t="s">
        <v>2776</v>
      </c>
      <c r="J555" s="26" t="s">
        <v>2754</v>
      </c>
      <c r="K555" s="26" t="s">
        <v>2755</v>
      </c>
      <c r="L555" s="26">
        <v>123</v>
      </c>
      <c r="M555" s="26" t="s">
        <v>2756</v>
      </c>
    </row>
    <row r="556" spans="1:13" ht="33.6" customHeight="1" x14ac:dyDescent="0.3">
      <c r="A556" s="25" t="s">
        <v>2136</v>
      </c>
      <c r="B556" s="25" t="s">
        <v>2137</v>
      </c>
      <c r="C556" s="25" t="s">
        <v>1494</v>
      </c>
      <c r="D556" s="25" t="s">
        <v>1938</v>
      </c>
      <c r="E556" s="25" t="s">
        <v>127</v>
      </c>
      <c r="F556" s="25" t="s">
        <v>2757</v>
      </c>
      <c r="G556" s="25" t="s">
        <v>2758</v>
      </c>
      <c r="H556" s="25" t="s">
        <v>2137</v>
      </c>
      <c r="I556" s="25" t="s">
        <v>2779</v>
      </c>
      <c r="J556" s="26" t="s">
        <v>2754</v>
      </c>
      <c r="K556" s="26" t="s">
        <v>2755</v>
      </c>
      <c r="L556" s="26">
        <v>127</v>
      </c>
      <c r="M556" s="26" t="s">
        <v>2756</v>
      </c>
    </row>
    <row r="557" spans="1:13" ht="33.6" customHeight="1" x14ac:dyDescent="0.3">
      <c r="A557" s="25" t="s">
        <v>2146</v>
      </c>
      <c r="B557" s="25" t="s">
        <v>2147</v>
      </c>
      <c r="C557" s="25" t="s">
        <v>1494</v>
      </c>
      <c r="D557" s="25" t="s">
        <v>1938</v>
      </c>
      <c r="E557" s="25" t="s">
        <v>127</v>
      </c>
      <c r="F557" s="25" t="s">
        <v>2757</v>
      </c>
      <c r="G557" s="25" t="s">
        <v>2758</v>
      </c>
      <c r="H557" s="25" t="s">
        <v>2147</v>
      </c>
      <c r="I557" s="25" t="s">
        <v>2779</v>
      </c>
      <c r="J557" s="26" t="s">
        <v>2754</v>
      </c>
      <c r="K557" s="26" t="s">
        <v>2755</v>
      </c>
      <c r="L557" s="26">
        <v>127</v>
      </c>
      <c r="M557" s="26" t="s">
        <v>2756</v>
      </c>
    </row>
    <row r="558" spans="1:13" ht="33.6" customHeight="1" x14ac:dyDescent="0.3">
      <c r="A558" s="25" t="s">
        <v>2162</v>
      </c>
      <c r="B558" s="25" t="s">
        <v>2163</v>
      </c>
      <c r="C558" s="25" t="s">
        <v>1494</v>
      </c>
      <c r="D558" s="25" t="s">
        <v>1938</v>
      </c>
      <c r="E558" s="25" t="s">
        <v>210</v>
      </c>
      <c r="F558" s="25" t="s">
        <v>2765</v>
      </c>
      <c r="G558" s="25" t="s">
        <v>2780</v>
      </c>
      <c r="H558" s="25" t="s">
        <v>2163</v>
      </c>
      <c r="I558" s="25" t="s">
        <v>2781</v>
      </c>
      <c r="J558" s="26" t="s">
        <v>2754</v>
      </c>
      <c r="K558" s="26" t="s">
        <v>2755</v>
      </c>
      <c r="L558" s="26">
        <v>38</v>
      </c>
      <c r="M558" s="26" t="s">
        <v>2756</v>
      </c>
    </row>
    <row r="559" spans="1:13" ht="33.6" customHeight="1" x14ac:dyDescent="0.3">
      <c r="A559" s="25" t="s">
        <v>2162</v>
      </c>
      <c r="B559" s="25" t="s">
        <v>2163</v>
      </c>
      <c r="C559" s="25" t="s">
        <v>1494</v>
      </c>
      <c r="D559" s="25" t="s">
        <v>1938</v>
      </c>
      <c r="E559" s="25" t="s">
        <v>127</v>
      </c>
      <c r="F559" s="25" t="s">
        <v>2757</v>
      </c>
      <c r="G559" s="25" t="s">
        <v>2812</v>
      </c>
      <c r="H559" s="25" t="s">
        <v>2163</v>
      </c>
      <c r="I559" s="25" t="s">
        <v>2813</v>
      </c>
      <c r="J559" s="26" t="s">
        <v>2754</v>
      </c>
      <c r="K559" s="26" t="s">
        <v>2755</v>
      </c>
      <c r="L559" s="26">
        <v>127</v>
      </c>
      <c r="M559" s="26" t="s">
        <v>2756</v>
      </c>
    </row>
    <row r="560" spans="1:13" ht="33.6" customHeight="1" x14ac:dyDescent="0.3">
      <c r="A560" s="25" t="s">
        <v>2162</v>
      </c>
      <c r="B560" s="25" t="s">
        <v>2163</v>
      </c>
      <c r="C560" s="25" t="s">
        <v>1494</v>
      </c>
      <c r="D560" s="25" t="s">
        <v>1938</v>
      </c>
      <c r="E560" s="25" t="s">
        <v>127</v>
      </c>
      <c r="F560" s="25" t="s">
        <v>2757</v>
      </c>
      <c r="G560" s="25" t="s">
        <v>2758</v>
      </c>
      <c r="H560" s="25" t="s">
        <v>2163</v>
      </c>
      <c r="I560" s="25" t="s">
        <v>2759</v>
      </c>
      <c r="J560" s="26" t="s">
        <v>2754</v>
      </c>
      <c r="K560" s="26" t="s">
        <v>2755</v>
      </c>
      <c r="L560" s="26">
        <v>127</v>
      </c>
      <c r="M560" s="26" t="s">
        <v>2756</v>
      </c>
    </row>
    <row r="561" spans="1:13" ht="33.6" customHeight="1" x14ac:dyDescent="0.3">
      <c r="A561" s="25" t="s">
        <v>2169</v>
      </c>
      <c r="B561" s="25" t="s">
        <v>2170</v>
      </c>
      <c r="C561" s="25" t="s">
        <v>1494</v>
      </c>
      <c r="D561" s="25" t="s">
        <v>1938</v>
      </c>
      <c r="E561" s="25" t="s">
        <v>127</v>
      </c>
      <c r="F561" s="25" t="s">
        <v>2757</v>
      </c>
      <c r="G561" s="25" t="s">
        <v>2786</v>
      </c>
      <c r="H561" s="25" t="s">
        <v>2170</v>
      </c>
      <c r="I561" s="25" t="s">
        <v>2787</v>
      </c>
      <c r="J561" s="26" t="s">
        <v>2754</v>
      </c>
      <c r="K561" s="26" t="s">
        <v>2755</v>
      </c>
      <c r="L561" s="26">
        <v>127</v>
      </c>
      <c r="M561" s="26" t="s">
        <v>2756</v>
      </c>
    </row>
    <row r="562" spans="1:13" ht="33.6" customHeight="1" x14ac:dyDescent="0.3">
      <c r="A562" s="25" t="s">
        <v>2169</v>
      </c>
      <c r="B562" s="25" t="s">
        <v>2170</v>
      </c>
      <c r="C562" s="25" t="s">
        <v>1494</v>
      </c>
      <c r="D562" s="25" t="s">
        <v>1938</v>
      </c>
      <c r="E562" s="25" t="s">
        <v>127</v>
      </c>
      <c r="F562" s="25" t="s">
        <v>2757</v>
      </c>
      <c r="G562" s="25" t="s">
        <v>2758</v>
      </c>
      <c r="H562" s="25" t="s">
        <v>2170</v>
      </c>
      <c r="I562" s="25" t="s">
        <v>2759</v>
      </c>
      <c r="J562" s="26" t="s">
        <v>2754</v>
      </c>
      <c r="K562" s="26" t="s">
        <v>2755</v>
      </c>
      <c r="L562" s="26">
        <v>127</v>
      </c>
      <c r="M562" s="26" t="s">
        <v>2756</v>
      </c>
    </row>
  </sheetData>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2"/>
  <sheetViews>
    <sheetView topLeftCell="B1" workbookViewId="0"/>
  </sheetViews>
  <sheetFormatPr defaultRowHeight="14.4" x14ac:dyDescent="0.3"/>
  <cols>
    <col min="1" max="1" width="7.109375" customWidth="1"/>
    <col min="2" max="2" width="32.109375" customWidth="1"/>
    <col min="3" max="3" width="12.109375" customWidth="1"/>
    <col min="4" max="4" width="35" customWidth="1"/>
    <col min="5" max="6" width="15.6640625" customWidth="1"/>
    <col min="7" max="7" width="26.44140625" customWidth="1"/>
    <col min="8" max="8" width="17.44140625" customWidth="1"/>
    <col min="9" max="9" width="24.21875" customWidth="1"/>
    <col min="10" max="10" width="57.77734375" customWidth="1"/>
    <col min="11" max="11" width="51.77734375" customWidth="1"/>
  </cols>
  <sheetData>
    <row r="1" spans="1:11" ht="28.8" customHeight="1" x14ac:dyDescent="0.3">
      <c r="A1" s="23" t="s">
        <v>2742</v>
      </c>
      <c r="B1" s="23" t="s">
        <v>2743</v>
      </c>
      <c r="C1" s="23" t="s">
        <v>2919</v>
      </c>
      <c r="D1" s="23" t="s">
        <v>2744</v>
      </c>
      <c r="E1" s="23" t="s">
        <v>2920</v>
      </c>
      <c r="F1" s="23" t="s">
        <v>2921</v>
      </c>
      <c r="G1" s="23" t="s">
        <v>2922</v>
      </c>
      <c r="H1" s="23" t="s">
        <v>2923</v>
      </c>
      <c r="I1" s="24" t="s">
        <v>2924</v>
      </c>
      <c r="J1" s="24" t="s">
        <v>2925</v>
      </c>
      <c r="K1" s="24" t="s">
        <v>2926</v>
      </c>
    </row>
    <row r="2" spans="1:11" ht="38.4" customHeight="1" x14ac:dyDescent="0.3">
      <c r="A2" s="25" t="s">
        <v>210</v>
      </c>
      <c r="B2" s="25" t="s">
        <v>2765</v>
      </c>
      <c r="C2" s="28">
        <v>38</v>
      </c>
      <c r="D2" s="25" t="s">
        <v>2818</v>
      </c>
      <c r="E2" s="28">
        <v>24</v>
      </c>
      <c r="F2" s="27">
        <f t="shared" ref="F2:F32" si="0">E2/C2</f>
        <v>0.63157894736842102</v>
      </c>
      <c r="G2" s="25" t="s">
        <v>2927</v>
      </c>
      <c r="H2" s="25" t="s">
        <v>2928</v>
      </c>
      <c r="I2" s="26" t="s">
        <v>2929</v>
      </c>
      <c r="J2" s="26" t="s">
        <v>2930</v>
      </c>
      <c r="K2" s="26" t="s">
        <v>2931</v>
      </c>
    </row>
    <row r="3" spans="1:11" ht="38.4" customHeight="1" x14ac:dyDescent="0.3">
      <c r="A3" s="25" t="s">
        <v>210</v>
      </c>
      <c r="B3" s="25" t="s">
        <v>2765</v>
      </c>
      <c r="C3" s="28">
        <v>38</v>
      </c>
      <c r="D3" s="25" t="s">
        <v>2780</v>
      </c>
      <c r="E3" s="28">
        <v>11</v>
      </c>
      <c r="F3" s="27">
        <f t="shared" si="0"/>
        <v>0.28947368421052633</v>
      </c>
      <c r="G3" s="25" t="s">
        <v>2927</v>
      </c>
      <c r="H3" s="25" t="s">
        <v>2928</v>
      </c>
      <c r="I3" s="26" t="s">
        <v>2932</v>
      </c>
      <c r="J3" s="26" t="s">
        <v>2933</v>
      </c>
      <c r="K3" s="26" t="s">
        <v>2931</v>
      </c>
    </row>
    <row r="4" spans="1:11" ht="38.4" customHeight="1" x14ac:dyDescent="0.3">
      <c r="A4" s="25" t="s">
        <v>210</v>
      </c>
      <c r="B4" s="25" t="s">
        <v>2765</v>
      </c>
      <c r="C4" s="28">
        <v>38</v>
      </c>
      <c r="D4" s="25" t="s">
        <v>2766</v>
      </c>
      <c r="E4" s="28">
        <v>7</v>
      </c>
      <c r="F4" s="27">
        <f t="shared" si="0"/>
        <v>0.18421052631578946</v>
      </c>
      <c r="G4" s="25" t="s">
        <v>2927</v>
      </c>
      <c r="H4" s="25" t="s">
        <v>2928</v>
      </c>
      <c r="I4" s="26" t="s">
        <v>2934</v>
      </c>
      <c r="J4" s="26" t="s">
        <v>2935</v>
      </c>
      <c r="K4" s="26" t="s">
        <v>2931</v>
      </c>
    </row>
    <row r="5" spans="1:11" ht="38.4" customHeight="1" x14ac:dyDescent="0.3">
      <c r="A5" s="25" t="s">
        <v>210</v>
      </c>
      <c r="B5" s="25" t="s">
        <v>2765</v>
      </c>
      <c r="C5" s="28">
        <v>38</v>
      </c>
      <c r="D5" s="25" t="s">
        <v>2782</v>
      </c>
      <c r="E5" s="28">
        <v>3</v>
      </c>
      <c r="F5" s="27">
        <f t="shared" si="0"/>
        <v>7.8947368421052627E-2</v>
      </c>
      <c r="G5" s="25" t="s">
        <v>2927</v>
      </c>
      <c r="H5" s="25" t="s">
        <v>2928</v>
      </c>
      <c r="I5" s="26" t="s">
        <v>2934</v>
      </c>
      <c r="J5" s="26" t="s">
        <v>2935</v>
      </c>
      <c r="K5" s="26" t="s">
        <v>2931</v>
      </c>
    </row>
    <row r="6" spans="1:11" ht="38.4" customHeight="1" x14ac:dyDescent="0.3">
      <c r="A6" s="25" t="s">
        <v>210</v>
      </c>
      <c r="B6" s="25" t="s">
        <v>2765</v>
      </c>
      <c r="C6" s="28">
        <v>38</v>
      </c>
      <c r="D6" s="25" t="s">
        <v>2799</v>
      </c>
      <c r="E6" s="28">
        <v>2</v>
      </c>
      <c r="F6" s="27">
        <f t="shared" si="0"/>
        <v>5.2631578947368418E-2</v>
      </c>
      <c r="G6" s="25" t="s">
        <v>2927</v>
      </c>
      <c r="H6" s="25" t="s">
        <v>2928</v>
      </c>
      <c r="I6" s="26" t="s">
        <v>2934</v>
      </c>
      <c r="J6" s="26" t="s">
        <v>2935</v>
      </c>
      <c r="K6" s="26" t="s">
        <v>2931</v>
      </c>
    </row>
    <row r="7" spans="1:11" ht="38.4" customHeight="1" x14ac:dyDescent="0.3">
      <c r="A7" s="25" t="s">
        <v>260</v>
      </c>
      <c r="B7" s="25" t="s">
        <v>2768</v>
      </c>
      <c r="C7" s="28">
        <v>75</v>
      </c>
      <c r="D7" s="25" t="s">
        <v>2769</v>
      </c>
      <c r="E7" s="28">
        <v>61</v>
      </c>
      <c r="F7" s="27">
        <f t="shared" si="0"/>
        <v>0.81333333333333335</v>
      </c>
      <c r="G7" s="25" t="s">
        <v>2927</v>
      </c>
      <c r="H7" s="25" t="s">
        <v>2928</v>
      </c>
      <c r="I7" s="26" t="s">
        <v>2929</v>
      </c>
      <c r="J7" s="26" t="s">
        <v>2936</v>
      </c>
      <c r="K7" s="26" t="s">
        <v>2931</v>
      </c>
    </row>
    <row r="8" spans="1:11" ht="38.4" customHeight="1" x14ac:dyDescent="0.3">
      <c r="A8" s="25" t="s">
        <v>260</v>
      </c>
      <c r="B8" s="25" t="s">
        <v>2768</v>
      </c>
      <c r="C8" s="28">
        <v>75</v>
      </c>
      <c r="D8" s="25" t="s">
        <v>2788</v>
      </c>
      <c r="E8" s="28">
        <v>12</v>
      </c>
      <c r="F8" s="27">
        <f t="shared" si="0"/>
        <v>0.16</v>
      </c>
      <c r="G8" s="25" t="s">
        <v>2927</v>
      </c>
      <c r="H8" s="25" t="s">
        <v>2928</v>
      </c>
      <c r="I8" s="26" t="s">
        <v>2934</v>
      </c>
      <c r="J8" s="26" t="s">
        <v>2937</v>
      </c>
      <c r="K8" s="26" t="s">
        <v>2931</v>
      </c>
    </row>
    <row r="9" spans="1:11" ht="38.4" customHeight="1" x14ac:dyDescent="0.3">
      <c r="A9" s="25" t="s">
        <v>260</v>
      </c>
      <c r="B9" s="25" t="s">
        <v>2768</v>
      </c>
      <c r="C9" s="28">
        <v>75</v>
      </c>
      <c r="D9" s="25" t="s">
        <v>2790</v>
      </c>
      <c r="E9" s="28">
        <v>7</v>
      </c>
      <c r="F9" s="27">
        <f t="shared" si="0"/>
        <v>9.3333333333333338E-2</v>
      </c>
      <c r="G9" s="25" t="s">
        <v>2927</v>
      </c>
      <c r="H9" s="25" t="s">
        <v>2928</v>
      </c>
      <c r="I9" s="26" t="s">
        <v>2934</v>
      </c>
      <c r="J9" s="26" t="s">
        <v>2937</v>
      </c>
      <c r="K9" s="26" t="s">
        <v>2931</v>
      </c>
    </row>
    <row r="10" spans="1:11" ht="38.4" customHeight="1" x14ac:dyDescent="0.3">
      <c r="A10" s="25" t="s">
        <v>260</v>
      </c>
      <c r="B10" s="25" t="s">
        <v>2768</v>
      </c>
      <c r="C10" s="28">
        <v>75</v>
      </c>
      <c r="D10" s="25" t="s">
        <v>2771</v>
      </c>
      <c r="E10" s="28">
        <v>6</v>
      </c>
      <c r="F10" s="27">
        <f t="shared" si="0"/>
        <v>0.08</v>
      </c>
      <c r="G10" s="25" t="s">
        <v>2927</v>
      </c>
      <c r="H10" s="25" t="s">
        <v>2928</v>
      </c>
      <c r="I10" s="26" t="s">
        <v>2934</v>
      </c>
      <c r="J10" s="26" t="s">
        <v>2937</v>
      </c>
      <c r="K10" s="26" t="s">
        <v>2931</v>
      </c>
    </row>
    <row r="11" spans="1:11" ht="38.4" customHeight="1" x14ac:dyDescent="0.3">
      <c r="A11" s="25" t="s">
        <v>260</v>
      </c>
      <c r="B11" s="25" t="s">
        <v>2768</v>
      </c>
      <c r="C11" s="28">
        <v>75</v>
      </c>
      <c r="D11" s="25" t="s">
        <v>2801</v>
      </c>
      <c r="E11" s="28">
        <v>5</v>
      </c>
      <c r="F11" s="27">
        <f t="shared" si="0"/>
        <v>6.6666666666666666E-2</v>
      </c>
      <c r="G11" s="25" t="s">
        <v>2927</v>
      </c>
      <c r="H11" s="25" t="s">
        <v>2928</v>
      </c>
      <c r="I11" s="26" t="s">
        <v>2934</v>
      </c>
      <c r="J11" s="26" t="s">
        <v>2937</v>
      </c>
      <c r="K11" s="26" t="s">
        <v>2931</v>
      </c>
    </row>
    <row r="12" spans="1:11" ht="38.4" customHeight="1" x14ac:dyDescent="0.3">
      <c r="A12" s="25" t="s">
        <v>51</v>
      </c>
      <c r="B12" s="25" t="s">
        <v>2809</v>
      </c>
      <c r="C12" s="28">
        <v>21</v>
      </c>
      <c r="D12" s="25" t="s">
        <v>2810</v>
      </c>
      <c r="E12" s="28">
        <v>15</v>
      </c>
      <c r="F12" s="27">
        <f t="shared" si="0"/>
        <v>0.7142857142857143</v>
      </c>
      <c r="G12" s="25" t="s">
        <v>2927</v>
      </c>
      <c r="H12" s="25" t="s">
        <v>2928</v>
      </c>
      <c r="I12" s="26" t="s">
        <v>2929</v>
      </c>
      <c r="J12" s="26" t="s">
        <v>2938</v>
      </c>
      <c r="K12" s="26" t="s">
        <v>2931</v>
      </c>
    </row>
    <row r="13" spans="1:11" ht="38.4" customHeight="1" x14ac:dyDescent="0.3">
      <c r="A13" s="25" t="s">
        <v>51</v>
      </c>
      <c r="B13" s="25" t="s">
        <v>2809</v>
      </c>
      <c r="C13" s="28">
        <v>21</v>
      </c>
      <c r="D13" s="25" t="s">
        <v>2879</v>
      </c>
      <c r="E13" s="28">
        <v>4</v>
      </c>
      <c r="F13" s="27">
        <f t="shared" si="0"/>
        <v>0.19047619047619047</v>
      </c>
      <c r="G13" s="25" t="s">
        <v>2927</v>
      </c>
      <c r="H13" s="25" t="s">
        <v>2928</v>
      </c>
      <c r="I13" s="26" t="s">
        <v>2934</v>
      </c>
      <c r="J13" s="26" t="s">
        <v>2939</v>
      </c>
      <c r="K13" s="26" t="s">
        <v>2931</v>
      </c>
    </row>
    <row r="14" spans="1:11" ht="38.4" customHeight="1" x14ac:dyDescent="0.3">
      <c r="A14" s="25" t="s">
        <v>51</v>
      </c>
      <c r="B14" s="25" t="s">
        <v>2809</v>
      </c>
      <c r="C14" s="28">
        <v>21</v>
      </c>
      <c r="D14" s="25" t="s">
        <v>2892</v>
      </c>
      <c r="E14" s="28">
        <v>2</v>
      </c>
      <c r="F14" s="27">
        <f t="shared" si="0"/>
        <v>9.5238095238095233E-2</v>
      </c>
      <c r="G14" s="25" t="s">
        <v>2927</v>
      </c>
      <c r="H14" s="25" t="s">
        <v>2928</v>
      </c>
      <c r="I14" s="26" t="s">
        <v>2934</v>
      </c>
      <c r="J14" s="26" t="s">
        <v>2939</v>
      </c>
      <c r="K14" s="26" t="s">
        <v>2931</v>
      </c>
    </row>
    <row r="15" spans="1:11" ht="38.4" customHeight="1" x14ac:dyDescent="0.3">
      <c r="A15" s="25" t="s">
        <v>51</v>
      </c>
      <c r="B15" s="25" t="s">
        <v>2809</v>
      </c>
      <c r="C15" s="28">
        <v>21</v>
      </c>
      <c r="D15" s="25" t="s">
        <v>2844</v>
      </c>
      <c r="E15" s="28">
        <v>2</v>
      </c>
      <c r="F15" s="27">
        <f t="shared" si="0"/>
        <v>9.5238095238095233E-2</v>
      </c>
      <c r="G15" s="25" t="s">
        <v>2927</v>
      </c>
      <c r="H15" s="25" t="s">
        <v>2928</v>
      </c>
      <c r="I15" s="26" t="s">
        <v>2934</v>
      </c>
      <c r="J15" s="26" t="s">
        <v>2939</v>
      </c>
      <c r="K15" s="26" t="s">
        <v>2931</v>
      </c>
    </row>
    <row r="16" spans="1:11" ht="38.4" customHeight="1" x14ac:dyDescent="0.3">
      <c r="A16" s="25" t="s">
        <v>66</v>
      </c>
      <c r="B16" s="25" t="s">
        <v>2751</v>
      </c>
      <c r="C16" s="28">
        <v>123</v>
      </c>
      <c r="D16" s="25" t="s">
        <v>2775</v>
      </c>
      <c r="E16" s="28">
        <v>110</v>
      </c>
      <c r="F16" s="27">
        <f t="shared" si="0"/>
        <v>0.89430894308943087</v>
      </c>
      <c r="G16" s="25" t="s">
        <v>2927</v>
      </c>
      <c r="H16" s="25" t="s">
        <v>2928</v>
      </c>
      <c r="I16" s="26" t="s">
        <v>2929</v>
      </c>
      <c r="J16" s="26" t="s">
        <v>2940</v>
      </c>
      <c r="K16" s="26" t="s">
        <v>2931</v>
      </c>
    </row>
    <row r="17" spans="1:11" ht="38.4" customHeight="1" x14ac:dyDescent="0.3">
      <c r="A17" s="25" t="s">
        <v>66</v>
      </c>
      <c r="B17" s="25" t="s">
        <v>2751</v>
      </c>
      <c r="C17" s="28">
        <v>123</v>
      </c>
      <c r="D17" s="25" t="s">
        <v>2773</v>
      </c>
      <c r="E17" s="28">
        <v>84</v>
      </c>
      <c r="F17" s="27">
        <f t="shared" si="0"/>
        <v>0.68292682926829273</v>
      </c>
      <c r="G17" s="25" t="s">
        <v>2927</v>
      </c>
      <c r="H17" s="25" t="s">
        <v>2928</v>
      </c>
      <c r="I17" s="26" t="s">
        <v>2932</v>
      </c>
      <c r="J17" s="26" t="s">
        <v>2941</v>
      </c>
      <c r="K17" s="26" t="s">
        <v>2931</v>
      </c>
    </row>
    <row r="18" spans="1:11" ht="38.4" customHeight="1" x14ac:dyDescent="0.3">
      <c r="A18" s="25" t="s">
        <v>66</v>
      </c>
      <c r="B18" s="25" t="s">
        <v>2751</v>
      </c>
      <c r="C18" s="28">
        <v>123</v>
      </c>
      <c r="D18" s="25" t="s">
        <v>2777</v>
      </c>
      <c r="E18" s="28">
        <v>18</v>
      </c>
      <c r="F18" s="27">
        <f t="shared" si="0"/>
        <v>0.14634146341463414</v>
      </c>
      <c r="G18" s="25" t="s">
        <v>2927</v>
      </c>
      <c r="H18" s="25" t="s">
        <v>2928</v>
      </c>
      <c r="I18" s="26" t="s">
        <v>2934</v>
      </c>
      <c r="J18" s="26" t="s">
        <v>2942</v>
      </c>
      <c r="K18" s="26" t="s">
        <v>2931</v>
      </c>
    </row>
    <row r="19" spans="1:11" ht="38.4" customHeight="1" x14ac:dyDescent="0.3">
      <c r="A19" s="25" t="s">
        <v>66</v>
      </c>
      <c r="B19" s="25" t="s">
        <v>2751</v>
      </c>
      <c r="C19" s="28">
        <v>123</v>
      </c>
      <c r="D19" s="25" t="s">
        <v>2752</v>
      </c>
      <c r="E19" s="28">
        <v>11</v>
      </c>
      <c r="F19" s="27">
        <f t="shared" si="0"/>
        <v>8.943089430894309E-2</v>
      </c>
      <c r="G19" s="25" t="s">
        <v>2927</v>
      </c>
      <c r="H19" s="25" t="s">
        <v>2928</v>
      </c>
      <c r="I19" s="26" t="s">
        <v>2934</v>
      </c>
      <c r="J19" s="26" t="s">
        <v>2942</v>
      </c>
      <c r="K19" s="26" t="s">
        <v>2931</v>
      </c>
    </row>
    <row r="20" spans="1:11" ht="38.4" customHeight="1" x14ac:dyDescent="0.3">
      <c r="A20" s="25" t="s">
        <v>66</v>
      </c>
      <c r="B20" s="25" t="s">
        <v>2751</v>
      </c>
      <c r="C20" s="28">
        <v>123</v>
      </c>
      <c r="D20" s="25" t="s">
        <v>2794</v>
      </c>
      <c r="E20" s="28">
        <v>10</v>
      </c>
      <c r="F20" s="27">
        <f t="shared" si="0"/>
        <v>8.1300813008130079E-2</v>
      </c>
      <c r="G20" s="25" t="s">
        <v>2927</v>
      </c>
      <c r="H20" s="25" t="s">
        <v>2928</v>
      </c>
      <c r="I20" s="26" t="s">
        <v>2934</v>
      </c>
      <c r="J20" s="26" t="s">
        <v>2942</v>
      </c>
      <c r="K20" s="26" t="s">
        <v>2931</v>
      </c>
    </row>
    <row r="21" spans="1:11" ht="38.4" customHeight="1" x14ac:dyDescent="0.3">
      <c r="A21" s="25" t="s">
        <v>66</v>
      </c>
      <c r="B21" s="25" t="s">
        <v>2751</v>
      </c>
      <c r="C21" s="28">
        <v>123</v>
      </c>
      <c r="D21" s="25" t="s">
        <v>2784</v>
      </c>
      <c r="E21" s="28">
        <v>7</v>
      </c>
      <c r="F21" s="27">
        <f t="shared" si="0"/>
        <v>5.6910569105691054E-2</v>
      </c>
      <c r="G21" s="25" t="s">
        <v>2927</v>
      </c>
      <c r="H21" s="25" t="s">
        <v>2928</v>
      </c>
      <c r="I21" s="26" t="s">
        <v>2934</v>
      </c>
      <c r="J21" s="26" t="s">
        <v>2942</v>
      </c>
      <c r="K21" s="26" t="s">
        <v>2931</v>
      </c>
    </row>
    <row r="22" spans="1:11" ht="38.4" customHeight="1" x14ac:dyDescent="0.3">
      <c r="A22" s="25" t="s">
        <v>127</v>
      </c>
      <c r="B22" s="25" t="s">
        <v>2757</v>
      </c>
      <c r="C22" s="28">
        <v>127</v>
      </c>
      <c r="D22" s="25" t="s">
        <v>2758</v>
      </c>
      <c r="E22" s="28">
        <v>84</v>
      </c>
      <c r="F22" s="27">
        <f t="shared" si="0"/>
        <v>0.66141732283464572</v>
      </c>
      <c r="G22" s="25" t="s">
        <v>2927</v>
      </c>
      <c r="H22" s="25" t="s">
        <v>2928</v>
      </c>
      <c r="I22" s="26" t="s">
        <v>2929</v>
      </c>
      <c r="J22" s="26" t="s">
        <v>2943</v>
      </c>
      <c r="K22" s="26" t="s">
        <v>2931</v>
      </c>
    </row>
    <row r="23" spans="1:11" ht="38.4" customHeight="1" x14ac:dyDescent="0.3">
      <c r="A23" s="25" t="s">
        <v>127</v>
      </c>
      <c r="B23" s="25" t="s">
        <v>2757</v>
      </c>
      <c r="C23" s="28">
        <v>127</v>
      </c>
      <c r="D23" s="25" t="s">
        <v>2760</v>
      </c>
      <c r="E23" s="28">
        <v>20</v>
      </c>
      <c r="F23" s="27">
        <f t="shared" si="0"/>
        <v>0.15748031496062992</v>
      </c>
      <c r="G23" s="25" t="s">
        <v>2927</v>
      </c>
      <c r="H23" s="25" t="s">
        <v>2928</v>
      </c>
      <c r="I23" s="26" t="s">
        <v>2934</v>
      </c>
      <c r="J23" s="26" t="s">
        <v>2944</v>
      </c>
      <c r="K23" s="26" t="s">
        <v>2931</v>
      </c>
    </row>
    <row r="24" spans="1:11" ht="38.4" customHeight="1" x14ac:dyDescent="0.3">
      <c r="A24" s="25" t="s">
        <v>127</v>
      </c>
      <c r="B24" s="25" t="s">
        <v>2757</v>
      </c>
      <c r="C24" s="28">
        <v>127</v>
      </c>
      <c r="D24" s="25" t="s">
        <v>2792</v>
      </c>
      <c r="E24" s="28">
        <v>11</v>
      </c>
      <c r="F24" s="27">
        <f t="shared" si="0"/>
        <v>8.6614173228346455E-2</v>
      </c>
      <c r="G24" s="25" t="s">
        <v>2927</v>
      </c>
      <c r="H24" s="25" t="s">
        <v>2928</v>
      </c>
      <c r="I24" s="26" t="s">
        <v>2934</v>
      </c>
      <c r="J24" s="26" t="s">
        <v>2944</v>
      </c>
      <c r="K24" s="26" t="s">
        <v>2931</v>
      </c>
    </row>
    <row r="25" spans="1:11" ht="38.4" customHeight="1" x14ac:dyDescent="0.3">
      <c r="A25" s="25" t="s">
        <v>127</v>
      </c>
      <c r="B25" s="25" t="s">
        <v>2757</v>
      </c>
      <c r="C25" s="28">
        <v>127</v>
      </c>
      <c r="D25" s="25" t="s">
        <v>2796</v>
      </c>
      <c r="E25" s="28">
        <v>9</v>
      </c>
      <c r="F25" s="27">
        <f t="shared" si="0"/>
        <v>7.0866141732283464E-2</v>
      </c>
      <c r="G25" s="25" t="s">
        <v>2927</v>
      </c>
      <c r="H25" s="25" t="s">
        <v>2928</v>
      </c>
      <c r="I25" s="26" t="s">
        <v>2934</v>
      </c>
      <c r="J25" s="26" t="s">
        <v>2944</v>
      </c>
      <c r="K25" s="26" t="s">
        <v>2931</v>
      </c>
    </row>
    <row r="26" spans="1:11" ht="38.4" customHeight="1" x14ac:dyDescent="0.3">
      <c r="A26" s="25" t="s">
        <v>127</v>
      </c>
      <c r="B26" s="25" t="s">
        <v>2757</v>
      </c>
      <c r="C26" s="28">
        <v>127</v>
      </c>
      <c r="D26" s="25" t="s">
        <v>2812</v>
      </c>
      <c r="E26" s="28">
        <v>8</v>
      </c>
      <c r="F26" s="27">
        <f t="shared" si="0"/>
        <v>6.2992125984251968E-2</v>
      </c>
      <c r="G26" s="25" t="s">
        <v>2927</v>
      </c>
      <c r="H26" s="25" t="s">
        <v>2928</v>
      </c>
      <c r="I26" s="26" t="s">
        <v>2934</v>
      </c>
      <c r="J26" s="26" t="s">
        <v>2944</v>
      </c>
      <c r="K26" s="26" t="s">
        <v>2931</v>
      </c>
    </row>
    <row r="27" spans="1:11" ht="38.4" customHeight="1" x14ac:dyDescent="0.3">
      <c r="A27" s="25" t="s">
        <v>127</v>
      </c>
      <c r="B27" s="25" t="s">
        <v>2757</v>
      </c>
      <c r="C27" s="28">
        <v>127</v>
      </c>
      <c r="D27" s="25" t="s">
        <v>2786</v>
      </c>
      <c r="E27" s="28">
        <v>6</v>
      </c>
      <c r="F27" s="27">
        <f t="shared" si="0"/>
        <v>4.7244094488188976E-2</v>
      </c>
      <c r="G27" s="25" t="s">
        <v>2927</v>
      </c>
      <c r="H27" s="25" t="s">
        <v>2928</v>
      </c>
      <c r="I27" s="26" t="s">
        <v>2934</v>
      </c>
      <c r="J27" s="26" t="s">
        <v>2944</v>
      </c>
      <c r="K27" s="26" t="s">
        <v>2931</v>
      </c>
    </row>
    <row r="28" spans="1:11" ht="38.4" customHeight="1" x14ac:dyDescent="0.3">
      <c r="A28" s="25" t="s">
        <v>127</v>
      </c>
      <c r="B28" s="25" t="s">
        <v>2757</v>
      </c>
      <c r="C28" s="28">
        <v>127</v>
      </c>
      <c r="D28" s="25" t="s">
        <v>2838</v>
      </c>
      <c r="E28" s="28">
        <v>6</v>
      </c>
      <c r="F28" s="27">
        <f t="shared" si="0"/>
        <v>4.7244094488188976E-2</v>
      </c>
      <c r="G28" s="25" t="s">
        <v>2927</v>
      </c>
      <c r="H28" s="25" t="s">
        <v>2928</v>
      </c>
      <c r="I28" s="26" t="s">
        <v>2934</v>
      </c>
      <c r="J28" s="26" t="s">
        <v>2944</v>
      </c>
      <c r="K28" s="26" t="s">
        <v>2931</v>
      </c>
    </row>
    <row r="29" spans="1:11" ht="38.4" customHeight="1" x14ac:dyDescent="0.3">
      <c r="A29" s="25" t="s">
        <v>885</v>
      </c>
      <c r="B29" s="25" t="s">
        <v>2762</v>
      </c>
      <c r="C29" s="28">
        <v>14</v>
      </c>
      <c r="D29" s="25" t="s">
        <v>2763</v>
      </c>
      <c r="E29" s="28">
        <v>12</v>
      </c>
      <c r="F29" s="27">
        <f t="shared" si="0"/>
        <v>0.8571428571428571</v>
      </c>
      <c r="G29" s="25" t="s">
        <v>2927</v>
      </c>
      <c r="H29" s="25" t="s">
        <v>2928</v>
      </c>
      <c r="I29" s="26" t="s">
        <v>2929</v>
      </c>
      <c r="J29" s="26" t="s">
        <v>2945</v>
      </c>
      <c r="K29" s="26" t="s">
        <v>2931</v>
      </c>
    </row>
    <row r="30" spans="1:11" ht="38.4" customHeight="1" x14ac:dyDescent="0.3">
      <c r="A30" s="25" t="s">
        <v>885</v>
      </c>
      <c r="B30" s="25" t="s">
        <v>2762</v>
      </c>
      <c r="C30" s="28">
        <v>14</v>
      </c>
      <c r="D30" s="25" t="s">
        <v>2885</v>
      </c>
      <c r="E30" s="28">
        <v>2</v>
      </c>
      <c r="F30" s="27">
        <f t="shared" si="0"/>
        <v>0.14285714285714285</v>
      </c>
      <c r="G30" s="25" t="s">
        <v>2927</v>
      </c>
      <c r="H30" s="25" t="s">
        <v>2928</v>
      </c>
      <c r="I30" s="26" t="s">
        <v>2934</v>
      </c>
      <c r="J30" s="26" t="s">
        <v>2946</v>
      </c>
      <c r="K30" s="26" t="s">
        <v>2931</v>
      </c>
    </row>
    <row r="31" spans="1:11" ht="38.4" customHeight="1" x14ac:dyDescent="0.3">
      <c r="A31" s="25" t="s">
        <v>885</v>
      </c>
      <c r="B31" s="25" t="s">
        <v>2762</v>
      </c>
      <c r="C31" s="28">
        <v>14</v>
      </c>
      <c r="D31" s="25" t="s">
        <v>2803</v>
      </c>
      <c r="E31" s="28">
        <v>1</v>
      </c>
      <c r="F31" s="27">
        <f t="shared" si="0"/>
        <v>7.1428571428571425E-2</v>
      </c>
      <c r="G31" s="25" t="s">
        <v>2927</v>
      </c>
      <c r="H31" s="25" t="s">
        <v>2928</v>
      </c>
      <c r="I31" s="26" t="s">
        <v>2934</v>
      </c>
      <c r="J31" s="26" t="s">
        <v>2946</v>
      </c>
      <c r="K31" s="26" t="s">
        <v>2931</v>
      </c>
    </row>
    <row r="32" spans="1:11" ht="38.4" customHeight="1" x14ac:dyDescent="0.3">
      <c r="A32" s="25" t="s">
        <v>885</v>
      </c>
      <c r="B32" s="25" t="s">
        <v>2762</v>
      </c>
      <c r="C32" s="28">
        <v>14</v>
      </c>
      <c r="D32" s="25" t="s">
        <v>2846</v>
      </c>
      <c r="E32" s="28">
        <v>1</v>
      </c>
      <c r="F32" s="27">
        <f t="shared" si="0"/>
        <v>7.1428571428571425E-2</v>
      </c>
      <c r="G32" s="25" t="s">
        <v>2927</v>
      </c>
      <c r="H32" s="25" t="s">
        <v>2928</v>
      </c>
      <c r="I32" s="26" t="s">
        <v>2934</v>
      </c>
      <c r="J32" s="26" t="s">
        <v>2946</v>
      </c>
      <c r="K32" s="26" t="s">
        <v>2931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17</vt:i4>
      </vt:variant>
    </vt:vector>
  </HeadingPairs>
  <TitlesOfParts>
    <vt:vector size="17" baseType="lpstr">
      <vt:lpstr>IEEE - Estudos Primários</vt:lpstr>
      <vt:lpstr>ACM - Estudos Primários</vt:lpstr>
      <vt:lpstr>Web of Science - Primários</vt:lpstr>
      <vt:lpstr>IEEE - Estudos Secundários</vt:lpstr>
      <vt:lpstr>ACM - Estudos Secundários</vt:lpstr>
      <vt:lpstr>Web of Science - Secundários</vt:lpstr>
      <vt:lpstr>Base_Unificada_Apoio</vt:lpstr>
      <vt:lpstr>Consolidação Geral da RSL</vt:lpstr>
      <vt:lpstr>Estatísticas da Revisão</vt:lpstr>
      <vt:lpstr>Rastreabilidade da Seleção</vt:lpstr>
      <vt:lpstr>Controle de Deduplicação</vt:lpstr>
      <vt:lpstr>Procedimento Metodológico</vt:lpstr>
      <vt:lpstr>Legenda</vt:lpstr>
      <vt:lpstr>Síntese Questões Pesquisa</vt:lpstr>
      <vt:lpstr>Protocolo_Extracao</vt:lpstr>
      <vt:lpstr>Matriz_Extracao_Evidencias</vt:lpstr>
      <vt:lpstr>Sintese_Incidencia_RQs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2026-05-04T21:38:02Z</dcterms:created>
  <dcterms:modified xsi:type="dcterms:W3CDTF">2026-05-04T21:41:35Z</dcterms:modified>
</cp:coreProperties>
</file>